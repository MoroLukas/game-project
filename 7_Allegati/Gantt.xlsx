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cuola\Classe\I3AA\M306 - Progetti\game-project\7_Allegati\"/>
    </mc:Choice>
  </mc:AlternateContent>
  <xr:revisionPtr revIDLastSave="0" documentId="13_ncr:1_{B44CDFB5-5AA0-46B8-9C45-8D622B19F6BD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Leggero" sheetId="1" r:id="rId1"/>
  </sheets>
  <definedNames>
    <definedName name="Incremento_Scorrimento" localSheetId="0">Leggero!$C$7</definedName>
    <definedName name="Inzio_Progetto" localSheetId="0">Leggero!$C$6</definedName>
    <definedName name="Oggi" localSheetId="0">TODAY()</definedName>
    <definedName name="_xlnm.Print_Titles" localSheetId="0">Leggero!$6:$9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2" i="1" l="1"/>
  <c r="E25" i="1" s="1"/>
  <c r="E26" i="1" s="1"/>
  <c r="E27" i="1" s="1"/>
  <c r="E28" i="1" s="1"/>
  <c r="E29" i="1" s="1"/>
  <c r="E30" i="1" s="1"/>
  <c r="E31" i="1" s="1"/>
  <c r="E32" i="1" s="1"/>
  <c r="E33" i="1" s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DO7" i="1"/>
  <c r="E34" i="1" l="1"/>
  <c r="DO34" i="1" s="1"/>
  <c r="DO18" i="1"/>
  <c r="DO87" i="1"/>
  <c r="DO86" i="1"/>
  <c r="DO85" i="1"/>
  <c r="DO83" i="1"/>
  <c r="DO48" i="1"/>
  <c r="DO45" i="1"/>
  <c r="DO44" i="1"/>
  <c r="DO41" i="1"/>
  <c r="DO38" i="1"/>
  <c r="DO36" i="1"/>
  <c r="DO33" i="1"/>
  <c r="DO71" i="1"/>
  <c r="DO70" i="1"/>
  <c r="DO69" i="1"/>
  <c r="DO68" i="1"/>
  <c r="DO67" i="1"/>
  <c r="DO66" i="1"/>
  <c r="DO65" i="1"/>
  <c r="DO64" i="1"/>
  <c r="DO63" i="1"/>
  <c r="DO62" i="1"/>
  <c r="DO61" i="1"/>
  <c r="DO60" i="1"/>
  <c r="DO59" i="1"/>
  <c r="DO58" i="1"/>
  <c r="DO57" i="1"/>
  <c r="DO56" i="1"/>
  <c r="DO55" i="1"/>
  <c r="DO54" i="1"/>
  <c r="DO53" i="1"/>
  <c r="DO52" i="1"/>
  <c r="DO51" i="1"/>
  <c r="DO50" i="1"/>
  <c r="DO49" i="1"/>
  <c r="DO47" i="1"/>
  <c r="DO46" i="1"/>
  <c r="DO43" i="1"/>
  <c r="DO42" i="1"/>
  <c r="DO40" i="1"/>
  <c r="DO39" i="1"/>
  <c r="DO35" i="1"/>
  <c r="DO32" i="1"/>
  <c r="DO17" i="1"/>
  <c r="DO11" i="1"/>
  <c r="DO81" i="1"/>
  <c r="DO13" i="1"/>
  <c r="DO31" i="1"/>
  <c r="DO82" i="1"/>
  <c r="DO84" i="1"/>
  <c r="DO88" i="1"/>
  <c r="DO89" i="1"/>
  <c r="DO80" i="1"/>
  <c r="DO9" i="1"/>
  <c r="DO90" i="1"/>
  <c r="DO22" i="1"/>
  <c r="DO28" i="1"/>
  <c r="DO12" i="1"/>
  <c r="DO79" i="1"/>
  <c r="DO78" i="1"/>
  <c r="DO77" i="1"/>
  <c r="DO76" i="1"/>
  <c r="DO75" i="1"/>
  <c r="DO74" i="1"/>
  <c r="DO73" i="1"/>
  <c r="DO72" i="1"/>
  <c r="DO37" i="1"/>
  <c r="DO15" i="1" l="1"/>
  <c r="DO14" i="1"/>
  <c r="DO16" i="1"/>
  <c r="DO27" i="1" l="1"/>
  <c r="DO23" i="1"/>
  <c r="DO19" i="1" l="1"/>
  <c r="DO25" i="1"/>
  <c r="DO20" i="1" l="1"/>
  <c r="DO21" i="1" l="1"/>
  <c r="DO26" i="1"/>
  <c r="DO29" i="1" l="1"/>
  <c r="DO30" i="1" l="1"/>
</calcChain>
</file>

<file path=xl/sharedStrings.xml><?xml version="1.0" encoding="utf-8"?>
<sst xmlns="http://schemas.openxmlformats.org/spreadsheetml/2006/main" count="154" uniqueCount="64">
  <si>
    <t>Slime and Guns</t>
  </si>
  <si>
    <t>TheCPTs</t>
  </si>
  <si>
    <t>Data inizio progetto:</t>
  </si>
  <si>
    <t>February 2026</t>
  </si>
  <si>
    <t>March 2026</t>
  </si>
  <si>
    <t>April 2026</t>
  </si>
  <si>
    <t>Incremento scorrimento:</t>
  </si>
  <si>
    <t>ven 13/02</t>
  </si>
  <si>
    <t>ven 20/02</t>
  </si>
  <si>
    <t>ven 27/02</t>
  </si>
  <si>
    <t>ven 06/03</t>
  </si>
  <si>
    <t>ven 13/03</t>
  </si>
  <si>
    <t>ven 20/03</t>
  </si>
  <si>
    <t>ven 27/03</t>
  </si>
  <si>
    <t>ven 03/04</t>
  </si>
  <si>
    <t>ven 10/04</t>
  </si>
  <si>
    <t>ven 17/04</t>
  </si>
  <si>
    <t>Descrizione attività cardine</t>
  </si>
  <si>
    <t>Categoria</t>
  </si>
  <si>
    <t>Assegnato a</t>
  </si>
  <si>
    <t>Inizio</t>
  </si>
  <si>
    <t>Ore (slot da 2h)</t>
  </si>
  <si>
    <t>0-2</t>
  </si>
  <si>
    <t>2-4</t>
  </si>
  <si>
    <t>4-6</t>
  </si>
  <si>
    <t>6-8</t>
  </si>
  <si>
    <t>Obiettivo</t>
  </si>
  <si>
    <t>Attività cardine</t>
  </si>
  <si>
    <t>Lukas</t>
  </si>
  <si>
    <t>Sofia</t>
  </si>
  <si>
    <t>Player</t>
  </si>
  <si>
    <t>Movimento normale</t>
  </si>
  <si>
    <t>Movimento sliding</t>
  </si>
  <si>
    <t>Movimento shooting</t>
  </si>
  <si>
    <t>Movimento armi</t>
  </si>
  <si>
    <t>Collisione muri</t>
  </si>
  <si>
    <t>Collisione nemici</t>
  </si>
  <si>
    <t>Scelta personaggio</t>
  </si>
  <si>
    <t>Nemico</t>
  </si>
  <si>
    <t>Attacco nemici</t>
  </si>
  <si>
    <t>Diminuzione vita player</t>
  </si>
  <si>
    <t>Morte nemico</t>
  </si>
  <si>
    <t>Attacco nemico</t>
  </si>
  <si>
    <t>Logica</t>
  </si>
  <si>
    <t>UI Cuori</t>
  </si>
  <si>
    <t>UI Colpi</t>
  </si>
  <si>
    <t>Generazione casuale dungeon</t>
  </si>
  <si>
    <t>Spawn nemici</t>
  </si>
  <si>
    <t>Layout</t>
  </si>
  <si>
    <t>Schermata pausa</t>
  </si>
  <si>
    <t>Menu iniziale</t>
  </si>
  <si>
    <t>Menu impostazioni</t>
  </si>
  <si>
    <t>Schermata GameOver</t>
  </si>
  <si>
    <t>Impostazioni</t>
  </si>
  <si>
    <t>Salvataggio partita</t>
  </si>
  <si>
    <t>Regolazione volume</t>
  </si>
  <si>
    <t>Alex</t>
  </si>
  <si>
    <t>Anh</t>
  </si>
  <si>
    <t>c</t>
  </si>
  <si>
    <t>Gestione colpi</t>
  </si>
  <si>
    <t>ven 24/04</t>
  </si>
  <si>
    <t>ven 08/05</t>
  </si>
  <si>
    <t>ven 22/05</t>
  </si>
  <si>
    <t>Gestione livelli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</si>
</sst>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d"/>
    <numFmt numFmtId="166" formatCode="#,##0_ ;\-#,##0\ "/>
    <numFmt numFmtId="167" formatCode=";;;"/>
  </numFmts>
  <fonts count="23" x14ac:knownFonts="1"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/>
      <sz val="26"/>
      <name val="Calibri"/>
      <family val="2"/>
      <charset val="1"/>
    </font>
    <font>
      <sz val="14"/>
      <name val="Calibri"/>
      <family val="2"/>
      <charset val="1"/>
    </font>
    <font>
      <sz val="11"/>
      <name val="Calibri"/>
      <family val="2"/>
      <charset val="1"/>
    </font>
    <font>
      <b/>
      <sz val="22"/>
      <name val="Calibri"/>
      <family val="2"/>
      <charset val="1"/>
    </font>
    <font>
      <b/>
      <sz val="20"/>
      <name val="Calibri"/>
      <family val="2"/>
      <charset val="1"/>
    </font>
    <font>
      <b/>
      <sz val="16"/>
      <name val="Calibri"/>
      <family val="2"/>
      <charset val="1"/>
    </font>
    <font>
      <b/>
      <sz val="9"/>
      <name val="Cambria"/>
      <family val="1"/>
    </font>
    <font>
      <b/>
      <sz val="16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6"/>
      <color theme="1"/>
      <name val="Calibri"/>
      <family val="2"/>
      <charset val="1"/>
    </font>
    <font>
      <b/>
      <sz val="8"/>
      <name val="Cambria"/>
      <family val="1"/>
    </font>
    <font>
      <sz val="10"/>
      <name val="Calibri"/>
      <family val="2"/>
      <charset val="1"/>
    </font>
    <font>
      <sz val="7"/>
      <name val="Cambria"/>
      <family val="1"/>
    </font>
    <font>
      <b/>
      <sz val="11"/>
      <color theme="0"/>
      <name val="Calibri"/>
      <family val="2"/>
      <charset val="1"/>
    </font>
    <font>
      <b/>
      <sz val="10"/>
      <color theme="0"/>
      <name val="Calibri"/>
      <family val="2"/>
      <charset val="1"/>
    </font>
    <font>
      <b/>
      <sz val="7"/>
      <name val="Cambria"/>
      <family val="1"/>
    </font>
    <font>
      <b/>
      <sz val="11"/>
      <name val="Calibri"/>
      <family val="2"/>
      <charset val="1"/>
    </font>
    <font>
      <u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3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rgb="FFE6E6E6"/>
      </patternFill>
    </fill>
    <fill>
      <patternFill patternType="solid">
        <fgColor theme="0" tint="-0.249977111117893"/>
        <bgColor rgb="FFA6A6A6"/>
      </patternFill>
    </fill>
    <fill>
      <patternFill patternType="solid">
        <fgColor theme="1" tint="0.24988555558946501"/>
        <bgColor rgb="FF333300"/>
      </patternFill>
    </fill>
    <fill>
      <patternFill patternType="solid">
        <fgColor rgb="FF66FF3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34998626667073579"/>
      </right>
      <top style="thin">
        <color theme="0" tint="-0.499984740745262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20" fillId="0" borderId="0">
      <alignment horizontal="center" vertical="center"/>
    </xf>
    <xf numFmtId="0" fontId="1" fillId="0" borderId="0"/>
  </cellStyleXfs>
  <cellXfs count="6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4" fillId="0" borderId="0" xfId="0" applyFont="1"/>
    <xf numFmtId="16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 indent="2"/>
    </xf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/>
    <xf numFmtId="0" fontId="4" fillId="0" borderId="0" xfId="0" applyFont="1" applyAlignment="1">
      <alignment horizontal="left" vertical="center"/>
    </xf>
    <xf numFmtId="0" fontId="4" fillId="0" borderId="2" xfId="0" applyFont="1" applyBorder="1"/>
    <xf numFmtId="165" fontId="13" fillId="3" borderId="5" xfId="0" applyNumberFormat="1" applyFont="1" applyFill="1" applyBorder="1" applyAlignment="1">
      <alignment horizontal="center" vertical="center"/>
    </xf>
    <xf numFmtId="14" fontId="14" fillId="3" borderId="6" xfId="0" applyNumberFormat="1" applyFont="1" applyFill="1" applyBorder="1" applyAlignment="1">
      <alignment horizontal="center" vertical="center"/>
    </xf>
    <xf numFmtId="14" fontId="14" fillId="3" borderId="0" xfId="0" applyNumberFormat="1" applyFont="1" applyFill="1" applyAlignment="1">
      <alignment horizontal="center" vertical="center"/>
    </xf>
    <xf numFmtId="14" fontId="14" fillId="3" borderId="7" xfId="0" applyNumberFormat="1" applyFont="1" applyFill="1" applyBorder="1" applyAlignment="1">
      <alignment horizontal="center" vertical="center"/>
    </xf>
    <xf numFmtId="14" fontId="14" fillId="3" borderId="8" xfId="0" applyNumberFormat="1" applyFont="1" applyFill="1" applyBorder="1" applyAlignment="1">
      <alignment horizontal="center" vertical="center"/>
    </xf>
    <xf numFmtId="165" fontId="13" fillId="3" borderId="2" xfId="0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horizontal="left" vertical="center" indent="1"/>
    </xf>
    <xf numFmtId="0" fontId="15" fillId="4" borderId="0" xfId="0" applyFont="1" applyFill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 shrinkToFit="1"/>
    </xf>
    <xf numFmtId="0" fontId="0" fillId="0" borderId="0" xfId="0" applyAlignment="1">
      <alignment horizontal="left" wrapText="1" indent="2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7" fontId="0" fillId="0" borderId="10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0" fontId="18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0" xfId="0" applyFont="1" applyAlignment="1">
      <alignment horizontal="left" vertical="center" wrapText="1" indent="2"/>
    </xf>
    <xf numFmtId="0" fontId="0" fillId="0" borderId="0" xfId="0" applyAlignment="1">
      <alignment horizontal="right" vertical="center"/>
    </xf>
    <xf numFmtId="167" fontId="0" fillId="0" borderId="0" xfId="0" applyNumberFormat="1"/>
    <xf numFmtId="0" fontId="19" fillId="0" borderId="0" xfId="0" applyFont="1"/>
    <xf numFmtId="14" fontId="0" fillId="0" borderId="0" xfId="0" applyNumberFormat="1" applyAlignment="1">
      <alignment horizontal="center"/>
    </xf>
    <xf numFmtId="14" fontId="0" fillId="0" borderId="0" xfId="0" applyNumberForma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/>
    <xf numFmtId="14" fontId="15" fillId="4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7" fontId="0" fillId="5" borderId="11" xfId="0" applyNumberFormat="1" applyFill="1" applyBorder="1" applyAlignment="1">
      <alignment horizontal="center" vertical="center"/>
    </xf>
    <xf numFmtId="165" fontId="12" fillId="3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8" fillId="0" borderId="1" xfId="0" applyFont="1" applyBorder="1" applyAlignment="1">
      <alignment horizontal="center" vertical="center"/>
    </xf>
    <xf numFmtId="165" fontId="12" fillId="3" borderId="3" xfId="0" applyNumberFormat="1" applyFont="1" applyFill="1" applyBorder="1" applyAlignment="1">
      <alignment horizontal="center" vertical="center"/>
    </xf>
    <xf numFmtId="165" fontId="12" fillId="3" borderId="5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3">
    <cellStyle name="Data" xfId="1" xr:uid="{00000000-0005-0000-0000-000006000000}"/>
    <cellStyle name="Normale" xfId="0" builtinId="0"/>
    <cellStyle name="zTestoNascosto" xfId="2" xr:uid="{00000000-0005-0000-0000-000007000000}"/>
  </cellStyles>
  <dxfs count="77">
    <dxf>
      <fill>
        <patternFill>
          <bgColor theme="9"/>
        </patternFill>
      </fill>
      <border diagonalUp="0" diagonalDown="0">
        <left/>
        <right/>
        <top/>
        <bottom/>
      </border>
    </dxf>
    <dxf>
      <fill>
        <patternFill>
          <bgColor theme="7" tint="-0.249977111117893"/>
        </patternFill>
      </fill>
      <border diagonalUp="0" diagonalDown="0">
        <left/>
        <right/>
        <top/>
        <bottom/>
      </border>
    </dxf>
    <dxf>
      <fill>
        <patternFill>
          <bgColor theme="6"/>
        </patternFill>
      </fill>
      <border diagonalUp="0" diagonalDown="0">
        <left/>
        <right/>
        <top/>
        <bottom/>
      </border>
    </dxf>
    <dxf>
      <fill>
        <patternFill>
          <bgColor theme="5"/>
        </patternFill>
      </fill>
      <border diagonalUp="0" diagonalDown="0">
        <left/>
        <right/>
        <top/>
        <bottom/>
      </border>
    </dxf>
    <dxf>
      <fill>
        <patternFill>
          <bgColor theme="2" tint="-9.9978637043366805E-2"/>
        </patternFill>
      </fill>
      <border diagonalUp="0" diagonalDown="0">
        <left/>
        <right/>
        <top/>
        <bottom/>
      </border>
    </dxf>
    <dxf>
      <fill>
        <patternFill>
          <bgColor theme="9"/>
        </patternFill>
      </fill>
      <border diagonalUp="0" diagonalDown="0">
        <left/>
        <right/>
        <top/>
        <bottom/>
      </border>
    </dxf>
    <dxf>
      <fill>
        <patternFill>
          <bgColor theme="6"/>
        </patternFill>
      </fill>
      <border diagonalUp="0" diagonalDown="0">
        <left/>
        <right/>
        <top/>
        <bottom/>
      </border>
    </dxf>
    <dxf>
      <fill>
        <patternFill>
          <bgColor theme="5"/>
        </patternFill>
      </fill>
      <border diagonalUp="0" diagonalDown="0">
        <left/>
        <right/>
        <top/>
        <bottom/>
      </border>
    </dxf>
    <dxf>
      <fill>
        <patternFill>
          <bgColor theme="2" tint="-9.9978637043366805E-2"/>
        </patternFill>
      </fill>
      <border diagonalUp="0" diagonalDown="0">
        <left/>
        <right/>
        <top/>
        <bottom/>
      </border>
    </dxf>
    <dxf>
      <fill>
        <patternFill>
          <bgColor theme="9"/>
        </patternFill>
      </fill>
      <border diagonalUp="0" diagonalDown="0">
        <left/>
        <right/>
        <top/>
        <bottom/>
      </border>
    </dxf>
    <dxf>
      <fill>
        <patternFill>
          <bgColor theme="7" tint="-0.249977111117893"/>
        </patternFill>
      </fill>
      <border diagonalUp="0" diagonalDown="0">
        <left/>
        <right/>
        <top/>
        <bottom/>
      </border>
    </dxf>
    <dxf>
      <fill>
        <patternFill>
          <bgColor theme="7" tint="-0.249977111117893"/>
        </patternFill>
      </fill>
      <border diagonalUp="0" diagonalDown="0">
        <left/>
        <right/>
        <top/>
        <bottom/>
      </border>
    </dxf>
    <dxf>
      <fill>
        <patternFill>
          <bgColor rgb="FF70AD47"/>
        </patternFill>
      </fill>
    </dxf>
    <dxf>
      <fill>
        <patternFill>
          <bgColor theme="2" tint="-9.9978637043366805E-2"/>
        </patternFill>
      </fill>
      <border diagonalUp="0" diagonalDown="0">
        <left/>
        <right/>
        <top/>
        <bottom/>
      </border>
    </dxf>
    <dxf>
      <fill>
        <patternFill>
          <bgColor theme="5"/>
        </patternFill>
      </fill>
      <border diagonalUp="0" diagonalDown="0">
        <left/>
        <right/>
        <top/>
        <bottom/>
      </border>
    </dxf>
    <dxf>
      <fill>
        <patternFill>
          <bgColor theme="6"/>
        </patternFill>
      </fill>
      <border diagonalUp="0" diagonalDown="0">
        <left/>
        <right/>
        <top/>
        <bottom/>
      </border>
    </dxf>
    <dxf>
      <fill>
        <patternFill>
          <bgColor theme="2" tint="-9.9978637043366805E-2"/>
        </patternFill>
      </fill>
      <border diagonalUp="0" diagonalDown="0">
        <left/>
        <right/>
        <top/>
        <bottom/>
      </border>
    </dxf>
    <dxf>
      <fill>
        <patternFill>
          <bgColor theme="7" tint="-0.249977111117893"/>
        </patternFill>
      </fill>
      <border diagonalUp="0" diagonalDown="0">
        <left/>
        <right/>
        <top/>
        <bottom/>
      </border>
    </dxf>
    <dxf>
      <fill>
        <patternFill>
          <bgColor theme="6"/>
        </patternFill>
      </fill>
      <border diagonalUp="0" diagonalDown="0">
        <left/>
        <right/>
        <top/>
        <bottom/>
      </border>
    </dxf>
    <dxf>
      <fill>
        <patternFill>
          <bgColor theme="5"/>
        </patternFill>
      </fill>
      <border diagonalUp="0" diagonalDown="0">
        <left/>
        <right/>
        <top/>
        <bottom/>
      </border>
    </dxf>
    <dxf>
      <fill>
        <patternFill>
          <bgColor theme="2" tint="-9.9978637043366805E-2"/>
        </patternFill>
      </fill>
      <border diagonalUp="0" diagonalDown="0">
        <left/>
        <right/>
        <top/>
        <bottom/>
      </border>
    </dxf>
    <dxf>
      <fill>
        <patternFill>
          <bgColor theme="7" tint="-0.249977111117893"/>
        </patternFill>
      </fill>
      <border diagonalUp="0" diagonalDown="0">
        <left/>
        <right/>
        <top/>
        <bottom/>
      </border>
    </dxf>
    <dxf>
      <fill>
        <patternFill>
          <bgColor rgb="FF70AD47"/>
        </patternFill>
      </fill>
    </dxf>
    <dxf>
      <fill>
        <patternFill>
          <bgColor theme="9"/>
        </patternFill>
      </fill>
      <border diagonalUp="0" diagonalDown="0">
        <left/>
        <right/>
        <top/>
        <bottom/>
      </border>
    </dxf>
    <dxf>
      <fill>
        <patternFill>
          <bgColor theme="6"/>
        </patternFill>
      </fill>
      <border diagonalUp="0" diagonalDown="0">
        <left/>
        <right/>
        <top/>
        <bottom/>
      </border>
    </dxf>
    <dxf>
      <fill>
        <patternFill>
          <bgColor theme="5"/>
        </patternFill>
      </fill>
      <border diagonalUp="0" diagonalDown="0">
        <left/>
        <right/>
        <top/>
        <bottom/>
      </border>
    </dxf>
    <dxf>
      <fill>
        <patternFill>
          <bgColor theme="9"/>
        </patternFill>
      </fill>
      <border diagonalUp="0" diagonalDown="0">
        <left/>
        <right/>
        <top/>
        <bottom/>
      </border>
    </dxf>
    <dxf>
      <fill>
        <patternFill>
          <bgColor rgb="FF70AD47"/>
        </patternFill>
      </fill>
    </dxf>
    <dxf>
      <fill>
        <patternFill>
          <bgColor rgb="FF70AD47"/>
        </patternFill>
      </fill>
    </dxf>
    <dxf>
      <fill>
        <patternFill>
          <bgColor rgb="FF70AD47"/>
        </patternFill>
      </fill>
    </dxf>
    <dxf>
      <fill>
        <patternFill>
          <bgColor rgb="FF70AD47"/>
        </patternFill>
      </fill>
    </dxf>
    <dxf>
      <fill>
        <patternFill>
          <bgColor rgb="FF70AD47"/>
        </patternFill>
      </fill>
    </dxf>
    <dxf>
      <fill>
        <patternFill>
          <bgColor theme="5"/>
        </patternFill>
      </fill>
      <border diagonalUp="0" diagonalDown="0">
        <left/>
        <right/>
        <top/>
        <bottom/>
      </border>
    </dxf>
    <dxf>
      <fill>
        <patternFill>
          <bgColor theme="2" tint="-9.9978637043366805E-2"/>
        </patternFill>
      </fill>
      <border diagonalUp="0" diagonalDown="0">
        <left/>
        <right/>
        <top/>
        <bottom/>
      </border>
    </dxf>
    <dxf>
      <fill>
        <patternFill>
          <bgColor theme="6"/>
        </patternFill>
      </fill>
      <border diagonalUp="0" diagonalDown="0">
        <left/>
        <right/>
        <top/>
        <bottom/>
      </border>
    </dxf>
    <dxf>
      <fill>
        <patternFill>
          <bgColor theme="7" tint="-0.249977111117893"/>
        </patternFill>
      </fill>
      <border diagonalUp="0" diagonalDown="0">
        <left/>
        <right/>
        <top/>
        <bottom/>
      </border>
    </dxf>
    <dxf>
      <fill>
        <patternFill>
          <bgColor theme="9"/>
        </patternFill>
      </fill>
      <border diagonalUp="0" diagonalDown="0">
        <left/>
        <right/>
        <top/>
        <bottom/>
      </border>
    </dxf>
    <dxf>
      <fill>
        <patternFill>
          <bgColor theme="9"/>
        </patternFill>
      </fill>
      <border diagonalUp="0" diagonalDown="0">
        <left/>
        <right/>
        <top/>
        <bottom/>
      </border>
    </dxf>
    <dxf>
      <fill>
        <patternFill>
          <bgColor theme="9"/>
        </patternFill>
      </fill>
      <border diagonalUp="0" diagonalDown="0">
        <left/>
        <right/>
        <top/>
        <bottom/>
      </border>
    </dxf>
    <dxf>
      <fill>
        <patternFill>
          <bgColor theme="5"/>
        </patternFill>
      </fill>
      <border diagonalUp="0" diagonalDown="0">
        <left/>
        <right/>
        <top/>
        <bottom/>
      </border>
    </dxf>
    <dxf>
      <fill>
        <patternFill>
          <bgColor theme="6"/>
        </patternFill>
      </fill>
      <border diagonalUp="0" diagonalDown="0">
        <left/>
        <right/>
        <top/>
        <bottom/>
      </border>
    </dxf>
    <dxf>
      <fill>
        <patternFill>
          <bgColor theme="7" tint="-0.249977111117893"/>
        </patternFill>
      </fill>
      <border diagonalUp="0" diagonalDown="0">
        <left/>
        <right/>
        <top/>
        <bottom/>
      </border>
    </dxf>
    <dxf>
      <fill>
        <patternFill>
          <bgColor theme="2" tint="-9.9978637043366805E-2"/>
        </patternFill>
      </fill>
      <border diagonalUp="0" diagonalDown="0">
        <left/>
        <right/>
        <top/>
        <bottom/>
      </border>
    </dxf>
    <dxf>
      <fill>
        <patternFill>
          <bgColor theme="9"/>
        </patternFill>
      </fill>
      <border diagonalUp="0" diagonalDown="0">
        <left/>
        <right/>
        <top/>
        <bottom/>
      </border>
    </dxf>
    <dxf>
      <fill>
        <patternFill>
          <bgColor theme="9"/>
        </patternFill>
      </fill>
      <border diagonalUp="0" diagonalDown="0">
        <left/>
        <right/>
        <top/>
        <bottom/>
      </border>
    </dxf>
    <dxf>
      <fill>
        <patternFill>
          <bgColor theme="2" tint="-9.9978637043366805E-2"/>
        </patternFill>
      </fill>
      <border diagonalUp="0" diagonalDown="0">
        <left/>
        <right/>
        <top/>
        <bottom/>
      </border>
    </dxf>
    <dxf>
      <fill>
        <patternFill>
          <bgColor theme="5"/>
        </patternFill>
      </fill>
      <border diagonalUp="0" diagonalDown="0">
        <left/>
        <right/>
        <top/>
        <bottom/>
      </border>
    </dxf>
    <dxf>
      <fill>
        <patternFill>
          <bgColor theme="6"/>
        </patternFill>
      </fill>
      <border diagonalUp="0" diagonalDown="0">
        <left/>
        <right/>
        <top/>
        <bottom/>
      </border>
    </dxf>
    <dxf>
      <fill>
        <patternFill>
          <bgColor theme="7" tint="-0.249977111117893"/>
        </patternFill>
      </fill>
      <border diagonalUp="0" diagonalDown="0">
        <left/>
        <right/>
        <top/>
        <bottom/>
      </border>
    </dxf>
    <dxf>
      <fill>
        <patternFill>
          <bgColor theme="7" tint="-0.249977111117893"/>
        </patternFill>
      </fill>
      <border diagonalUp="0" diagonalDown="0">
        <left/>
        <right/>
        <top/>
        <bottom/>
      </border>
    </dxf>
    <dxf>
      <fill>
        <patternFill>
          <bgColor theme="5"/>
        </patternFill>
      </fill>
      <border diagonalUp="0" diagonalDown="0">
        <left/>
        <right/>
        <top/>
        <bottom/>
      </border>
    </dxf>
    <dxf>
      <fill>
        <patternFill>
          <bgColor theme="2" tint="-9.9978637043366805E-2"/>
        </patternFill>
      </fill>
      <border diagonalUp="0" diagonalDown="0">
        <left/>
        <right/>
        <top/>
        <bottom/>
      </border>
    </dxf>
    <dxf>
      <fill>
        <patternFill>
          <bgColor theme="6"/>
        </patternFill>
      </fill>
      <border diagonalUp="0" diagonalDown="0">
        <left/>
        <right/>
        <top/>
        <bottom/>
      </border>
    </dxf>
    <dxf>
      <fill>
        <patternFill>
          <bgColor theme="5"/>
        </patternFill>
      </fill>
      <border diagonalUp="0" diagonalDown="0">
        <left/>
        <right/>
        <top/>
        <bottom/>
      </border>
    </dxf>
    <dxf>
      <fill>
        <patternFill>
          <bgColor theme="6"/>
        </patternFill>
      </fill>
      <border diagonalUp="0" diagonalDown="0">
        <left/>
        <right/>
        <top/>
        <bottom/>
      </border>
    </dxf>
    <dxf>
      <fill>
        <patternFill>
          <bgColor theme="7" tint="-0.249977111117893"/>
        </patternFill>
      </fill>
      <border diagonalUp="0" diagonalDown="0">
        <left/>
        <right/>
        <top/>
        <bottom/>
      </border>
    </dxf>
    <dxf>
      <fill>
        <patternFill>
          <bgColor theme="2" tint="-9.9978637043366805E-2"/>
        </patternFill>
      </fill>
      <border diagonalUp="0" diagonalDown="0">
        <left/>
        <right/>
        <top/>
        <bottom/>
      </border>
    </dxf>
    <dxf>
      <fill>
        <patternFill>
          <bgColor theme="9"/>
        </patternFill>
      </fill>
      <border diagonalUp="0" diagonalDown="0">
        <left/>
        <right/>
        <top/>
        <bottom/>
      </border>
    </dxf>
    <dxf>
      <fill>
        <patternFill>
          <bgColor theme="2" tint="-9.9978637043366805E-2"/>
        </patternFill>
      </fill>
      <border diagonalUp="0" diagonalDown="0">
        <left/>
        <right/>
        <top/>
        <bottom/>
      </border>
    </dxf>
    <dxf>
      <fill>
        <patternFill>
          <bgColor theme="5"/>
        </patternFill>
      </fill>
      <border diagonalUp="0" diagonalDown="0">
        <left/>
        <right/>
        <top/>
        <bottom/>
      </border>
    </dxf>
    <dxf>
      <fill>
        <patternFill>
          <bgColor theme="6"/>
        </patternFill>
      </fill>
      <border diagonalUp="0" diagonalDown="0">
        <left/>
        <right/>
        <top/>
        <bottom/>
      </border>
    </dxf>
    <dxf>
      <fill>
        <patternFill>
          <bgColor theme="7" tint="-0.249977111117893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theme="0" tint="-0.14999847407452621"/>
        </patternFill>
      </fill>
      <border diagonalUp="0" diagonalDown="0">
        <left/>
        <right/>
        <top/>
        <bottom style="thin">
          <color theme="0" tint="-0.34998626667073579"/>
        </bottom>
      </border>
    </dxf>
    <dxf>
      <fill>
        <patternFill>
          <bgColor theme="9"/>
        </patternFill>
      </fill>
      <border diagonalUp="0" diagonalDown="0">
        <left/>
        <right/>
        <top/>
        <bottom/>
      </border>
    </dxf>
    <dxf>
      <fill>
        <patternFill>
          <bgColor theme="7" tint="-0.249977111117893"/>
        </patternFill>
      </fill>
      <border diagonalUp="0" diagonalDown="0">
        <left/>
        <right/>
        <top/>
        <bottom/>
      </border>
    </dxf>
    <dxf>
      <fill>
        <patternFill>
          <bgColor theme="6"/>
        </patternFill>
      </fill>
      <border diagonalUp="0" diagonalDown="0">
        <left/>
        <right/>
        <top/>
        <bottom/>
      </border>
    </dxf>
    <dxf>
      <fill>
        <patternFill>
          <bgColor theme="5"/>
        </patternFill>
      </fill>
      <border diagonalUp="0" diagonalDown="0">
        <left/>
        <right/>
        <top/>
        <bottom/>
      </border>
    </dxf>
    <dxf>
      <fill>
        <patternFill>
          <bgColor theme="2" tint="-9.9978637043366805E-2"/>
        </patternFill>
      </fill>
      <border diagonalUp="0" diagonalDown="0">
        <left/>
        <right/>
        <top/>
        <bottom/>
      </border>
    </dxf>
    <dxf>
      <fill>
        <patternFill>
          <bgColor theme="2" tint="-9.9978637043366805E-2"/>
        </patternFill>
      </fill>
      <border diagonalUp="0" diagonalDown="0">
        <left/>
        <right/>
        <top/>
        <bottom/>
      </border>
    </dxf>
    <dxf>
      <fill>
        <patternFill>
          <bgColor theme="5"/>
        </patternFill>
      </fill>
      <border diagonalUp="0" diagonalDown="0">
        <left/>
        <right/>
        <top/>
        <bottom/>
      </border>
    </dxf>
    <dxf>
      <fill>
        <patternFill>
          <bgColor theme="6"/>
        </patternFill>
      </fill>
      <border diagonalUp="0" diagonalDown="0">
        <left/>
        <right/>
        <top/>
        <bottom/>
      </border>
    </dxf>
    <dxf>
      <fill>
        <patternFill>
          <bgColor theme="7" tint="-0.249977111117893"/>
        </patternFill>
      </fill>
      <border diagonalUp="0" diagonalDown="0">
        <left/>
        <right/>
        <top/>
        <bottom/>
      </border>
    </dxf>
    <dxf>
      <fill>
        <patternFill>
          <bgColor theme="9"/>
        </patternFill>
      </fill>
      <border diagonalUp="0" diagonalDown="0">
        <left/>
        <right/>
        <top/>
        <bottom/>
      </border>
    </dxf>
    <dxf>
      <font>
        <color rgb="FFFFFFFF"/>
      </font>
      <fill>
        <patternFill>
          <bgColor theme="0" tint="-4.9989318521683403E-2"/>
        </patternFill>
      </fill>
      <border diagonalUp="0" diagonalDown="0">
        <left/>
        <right/>
        <top/>
        <bottom style="thin">
          <color theme="0" tint="-0.34998626667073579"/>
        </bottom>
      </border>
    </dxf>
    <dxf>
      <font>
        <color rgb="FFFFFFFF"/>
      </font>
      <fill>
        <patternFill>
          <bgColor theme="0" tint="-0.14999847407452621"/>
        </patternFill>
      </fill>
      <border diagonalUp="0" diagonalDown="0">
        <left/>
        <right/>
        <top/>
        <bottom style="thin">
          <color theme="0" tint="-0.34998626667073579"/>
        </bottom>
      </border>
    </dxf>
    <dxf>
      <fill>
        <patternFill>
          <bgColor rgb="FF70AD47"/>
        </patternFill>
      </fill>
    </dxf>
    <dxf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862B99"/>
      <rgbColor rgb="FFF2F2F2"/>
      <rgbColor rgb="FFE6E6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4868E5"/>
      <rgbColor rgb="FF33CCCC"/>
      <rgbColor rgb="FF70AD47"/>
      <rgbColor rgb="FFFFCC00"/>
      <rgbColor rgb="FFFF9900"/>
      <rgbColor rgb="FFFF6600"/>
      <rgbColor rgb="FF7F7F7F"/>
      <rgbColor rgb="FFA6A6A6"/>
      <rgbColor rgb="FF003366"/>
      <rgbColor rgb="FF20A472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tivitàcardine4352" displayName="Attivitàcardine4352" ref="B9:D91" totalsRowShown="0">
  <autoFilter ref="B9:D91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Descrizione attività cardine"/>
    <tableColumn id="2" xr3:uid="{00000000-0010-0000-0000-000002000000}" name="Categoria"/>
    <tableColumn id="3" xr3:uid="{00000000-0010-0000-0000-000003000000}" name="Assegnato 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Attitude">
  <a:themeElements>
    <a:clrScheme name="Custom 60">
      <a:dk1>
        <a:srgbClr val="000000"/>
      </a:dk1>
      <a:lt1>
        <a:srgbClr val="FFFFFF"/>
      </a:lt1>
      <a:dk2>
        <a:srgbClr val="8439BD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B036B3"/>
      </a:folHlink>
    </a:clrScheme>
    <a:fontScheme name="Calibri">
      <a:majorFont>
        <a:latin typeface="Calibri" panose="020F05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99"/>
  <sheetViews>
    <sheetView showGridLines="0" tabSelected="1" topLeftCell="A3" zoomScale="70" zoomScaleNormal="70" workbookViewId="0">
      <selection activeCell="K15" sqref="K15"/>
    </sheetView>
  </sheetViews>
  <sheetFormatPr defaultColWidth="8.85546875" defaultRowHeight="15" x14ac:dyDescent="0.25"/>
  <cols>
    <col min="1" max="1" width="12.42578125" bestFit="1" customWidth="1"/>
    <col min="2" max="2" width="32.7109375" bestFit="1" customWidth="1"/>
    <col min="3" max="3" width="15.28515625" hidden="1" customWidth="1"/>
    <col min="4" max="4" width="11.5703125" bestFit="1" customWidth="1"/>
    <col min="5" max="5" width="10.7109375" style="44" bestFit="1" customWidth="1"/>
    <col min="6" max="6" width="14.7109375" bestFit="1" customWidth="1"/>
    <col min="7" max="7" width="2.7109375" customWidth="1"/>
    <col min="8" max="11" width="8.140625" bestFit="1" customWidth="1"/>
    <col min="12" max="15" width="8.5703125" bestFit="1" customWidth="1"/>
    <col min="16" max="19" width="8.42578125" bestFit="1" customWidth="1"/>
    <col min="20" max="23" width="8.5703125" bestFit="1" customWidth="1"/>
    <col min="24" max="27" width="8.140625" bestFit="1" customWidth="1"/>
    <col min="28" max="31" width="8.5703125" bestFit="1" customWidth="1"/>
    <col min="32" max="35" width="8.42578125" bestFit="1" customWidth="1"/>
    <col min="36" max="39" width="8.5703125" bestFit="1" customWidth="1"/>
    <col min="40" max="43" width="8.140625" bestFit="1" customWidth="1"/>
    <col min="44" max="48" width="8" bestFit="1" customWidth="1"/>
    <col min="49" max="51" width="8.5703125" bestFit="1" customWidth="1"/>
    <col min="52" max="59" width="8.42578125" bestFit="1" customWidth="1"/>
    <col min="60" max="60" width="4.42578125" customWidth="1"/>
    <col min="61" max="61" width="3" customWidth="1"/>
    <col min="62" max="66" width="2.7109375" customWidth="1"/>
    <col min="67" max="68" width="3" customWidth="1"/>
    <col min="69" max="69" width="2.7109375" customWidth="1"/>
    <col min="70" max="70" width="3.7109375" customWidth="1"/>
    <col min="71" max="71" width="13" customWidth="1"/>
    <col min="72" max="90" width="3.7109375" customWidth="1"/>
    <col min="91" max="91" width="2.7109375" customWidth="1"/>
    <col min="92" max="92" width="16.5703125" customWidth="1"/>
    <col min="93" max="94" width="2.7109375" customWidth="1"/>
    <col min="95" max="96" width="3" customWidth="1"/>
    <col min="97" max="99" width="2.7109375" customWidth="1"/>
    <col min="100" max="108" width="3.7109375" customWidth="1"/>
    <col min="109" max="109" width="16.5703125" customWidth="1"/>
    <col min="110" max="116" width="3.7109375" customWidth="1"/>
    <col min="117" max="117" width="16.5703125" customWidth="1"/>
    <col min="118" max="118" width="3.7109375" customWidth="1"/>
    <col min="119" max="119" width="5.7109375" bestFit="1" customWidth="1"/>
  </cols>
  <sheetData>
    <row r="1" spans="1:119" ht="24.75" customHeight="1" x14ac:dyDescent="0.25"/>
    <row r="2" spans="1:119" ht="49.5" customHeight="1" x14ac:dyDescent="0.25">
      <c r="B2" s="53" t="s">
        <v>0</v>
      </c>
      <c r="C2" s="53"/>
      <c r="D2" s="53"/>
      <c r="E2" s="53"/>
      <c r="F2" s="53"/>
      <c r="G2" s="5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119" ht="19.5" customHeight="1" x14ac:dyDescent="0.25">
      <c r="B3" s="3"/>
      <c r="C3" s="4"/>
      <c r="E3" s="45"/>
      <c r="J3" s="5"/>
      <c r="K3" s="5"/>
    </row>
    <row r="4" spans="1:119" ht="30" customHeight="1" x14ac:dyDescent="0.25">
      <c r="B4" s="6" t="s">
        <v>1</v>
      </c>
      <c r="C4" s="7"/>
      <c r="E4" s="45"/>
    </row>
    <row r="5" spans="1:119" ht="30" customHeight="1" x14ac:dyDescent="0.25">
      <c r="B5" s="6"/>
      <c r="C5" s="8"/>
      <c r="D5" s="8"/>
      <c r="E5" s="46"/>
      <c r="F5" s="9"/>
      <c r="G5" s="9"/>
    </row>
    <row r="6" spans="1:119" ht="30" customHeight="1" x14ac:dyDescent="0.35">
      <c r="B6" s="8" t="s">
        <v>2</v>
      </c>
      <c r="C6" s="10">
        <v>46066</v>
      </c>
      <c r="D6" s="11"/>
      <c r="E6" s="46"/>
      <c r="F6" s="9"/>
      <c r="G6" s="9"/>
      <c r="H6" s="54" t="s">
        <v>3</v>
      </c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 t="s">
        <v>4</v>
      </c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 t="s">
        <v>5</v>
      </c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12"/>
      <c r="AW6" s="13"/>
      <c r="AX6" s="13"/>
      <c r="AY6" s="13"/>
      <c r="AZ6" s="13"/>
      <c r="BA6" s="14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3"/>
      <c r="DB6" s="13"/>
      <c r="DC6" s="13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</row>
    <row r="7" spans="1:119" ht="30" customHeight="1" x14ac:dyDescent="0.25">
      <c r="B7" s="8" t="s">
        <v>6</v>
      </c>
      <c r="C7" s="16">
        <v>1</v>
      </c>
      <c r="D7" s="8"/>
      <c r="E7" s="47"/>
      <c r="F7" s="9"/>
      <c r="G7" s="17"/>
      <c r="H7" s="55" t="s">
        <v>7</v>
      </c>
      <c r="I7" s="55"/>
      <c r="J7" s="55"/>
      <c r="K7" s="55"/>
      <c r="L7" s="52" t="s">
        <v>8</v>
      </c>
      <c r="M7" s="52"/>
      <c r="N7" s="52"/>
      <c r="O7" s="52"/>
      <c r="P7" s="52" t="s">
        <v>9</v>
      </c>
      <c r="Q7" s="52"/>
      <c r="R7" s="52"/>
      <c r="S7" s="52"/>
      <c r="T7" s="52" t="s">
        <v>10</v>
      </c>
      <c r="U7" s="52"/>
      <c r="V7" s="52"/>
      <c r="W7" s="52"/>
      <c r="X7" s="52" t="s">
        <v>11</v>
      </c>
      <c r="Y7" s="52"/>
      <c r="Z7" s="52"/>
      <c r="AA7" s="52"/>
      <c r="AB7" s="56" t="s">
        <v>12</v>
      </c>
      <c r="AC7" s="56"/>
      <c r="AD7" s="56"/>
      <c r="AE7" s="56"/>
      <c r="AF7" s="56" t="s">
        <v>13</v>
      </c>
      <c r="AG7" s="56"/>
      <c r="AH7" s="56"/>
      <c r="AI7" s="56"/>
      <c r="AJ7" s="52" t="s">
        <v>14</v>
      </c>
      <c r="AK7" s="52"/>
      <c r="AL7" s="52"/>
      <c r="AM7" s="52"/>
      <c r="AN7" s="52" t="s">
        <v>15</v>
      </c>
      <c r="AO7" s="52"/>
      <c r="AP7" s="52"/>
      <c r="AQ7" s="52"/>
      <c r="AR7" s="52" t="s">
        <v>16</v>
      </c>
      <c r="AS7" s="52"/>
      <c r="AT7" s="52"/>
      <c r="AU7" s="52"/>
      <c r="AV7" s="52" t="s">
        <v>60</v>
      </c>
      <c r="AW7" s="52"/>
      <c r="AX7" s="52"/>
      <c r="AY7" s="52"/>
      <c r="AZ7" s="52" t="s">
        <v>61</v>
      </c>
      <c r="BA7" s="52"/>
      <c r="BB7" s="52"/>
      <c r="BC7" s="52"/>
      <c r="BD7" s="52" t="s">
        <v>62</v>
      </c>
      <c r="BE7" s="52"/>
      <c r="BF7" s="52"/>
      <c r="BG7" s="52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>
        <f>DN7+1</f>
        <v>1</v>
      </c>
    </row>
    <row r="8" spans="1:119" ht="19.5" customHeight="1" x14ac:dyDescent="0.25">
      <c r="B8" s="8"/>
      <c r="C8" s="8"/>
      <c r="D8" s="8"/>
      <c r="E8" s="47"/>
      <c r="F8" s="9"/>
      <c r="G8" s="17"/>
      <c r="H8" s="19">
        <v>46066</v>
      </c>
      <c r="I8" s="20">
        <v>46066</v>
      </c>
      <c r="J8" s="20">
        <v>46066</v>
      </c>
      <c r="K8" s="20">
        <v>46066</v>
      </c>
      <c r="L8" s="20">
        <v>46073</v>
      </c>
      <c r="M8" s="20">
        <v>46073</v>
      </c>
      <c r="N8" s="20">
        <v>46073</v>
      </c>
      <c r="O8" s="21">
        <v>46073</v>
      </c>
      <c r="P8" s="20">
        <v>46080</v>
      </c>
      <c r="Q8" s="20">
        <v>46080</v>
      </c>
      <c r="R8" s="20">
        <v>46080</v>
      </c>
      <c r="S8" s="20">
        <v>46080</v>
      </c>
      <c r="T8" s="20">
        <v>46087</v>
      </c>
      <c r="U8" s="22">
        <v>46087</v>
      </c>
      <c r="V8" s="20">
        <v>46087</v>
      </c>
      <c r="W8" s="20">
        <v>46087</v>
      </c>
      <c r="X8" s="20">
        <v>46094</v>
      </c>
      <c r="Y8" s="20">
        <v>46094</v>
      </c>
      <c r="Z8" s="20">
        <v>46094</v>
      </c>
      <c r="AA8" s="20">
        <v>46094</v>
      </c>
      <c r="AB8" s="22">
        <v>46101</v>
      </c>
      <c r="AC8" s="20">
        <v>46101</v>
      </c>
      <c r="AD8" s="20">
        <v>46101</v>
      </c>
      <c r="AE8" s="20">
        <v>46101</v>
      </c>
      <c r="AF8" s="20">
        <v>46108</v>
      </c>
      <c r="AG8" s="20">
        <v>46108</v>
      </c>
      <c r="AH8" s="20">
        <v>46108</v>
      </c>
      <c r="AI8" s="22">
        <v>46108</v>
      </c>
      <c r="AJ8" s="20">
        <v>46115</v>
      </c>
      <c r="AK8" s="20">
        <v>46115</v>
      </c>
      <c r="AL8" s="20">
        <v>46115</v>
      </c>
      <c r="AM8" s="20">
        <v>46115</v>
      </c>
      <c r="AN8" s="20">
        <v>46122</v>
      </c>
      <c r="AO8" s="20">
        <v>46122</v>
      </c>
      <c r="AP8" s="22">
        <v>46122</v>
      </c>
      <c r="AQ8" s="20">
        <v>46122</v>
      </c>
      <c r="AR8" s="20">
        <v>46129</v>
      </c>
      <c r="AS8" s="20">
        <v>46129</v>
      </c>
      <c r="AT8" s="20">
        <v>46129</v>
      </c>
      <c r="AU8" s="20">
        <v>46129</v>
      </c>
      <c r="AV8" s="20">
        <v>46129</v>
      </c>
      <c r="AW8" s="20">
        <v>46136</v>
      </c>
      <c r="AX8" s="20">
        <v>46136</v>
      </c>
      <c r="AY8" s="20">
        <v>46136</v>
      </c>
      <c r="AZ8" s="20">
        <v>46150</v>
      </c>
      <c r="BA8" s="20">
        <v>46150</v>
      </c>
      <c r="BB8" s="20">
        <v>46150</v>
      </c>
      <c r="BC8" s="20">
        <v>46150</v>
      </c>
      <c r="BD8" s="20">
        <v>46164</v>
      </c>
      <c r="BE8" s="20">
        <v>46164</v>
      </c>
      <c r="BF8" s="20">
        <v>46164</v>
      </c>
      <c r="BG8" s="20">
        <v>46164</v>
      </c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</row>
    <row r="9" spans="1:119" ht="39.75" customHeight="1" x14ac:dyDescent="0.25">
      <c r="B9" s="24" t="s">
        <v>17</v>
      </c>
      <c r="C9" s="25" t="s">
        <v>18</v>
      </c>
      <c r="D9" s="25" t="s">
        <v>19</v>
      </c>
      <c r="E9" s="48" t="s">
        <v>20</v>
      </c>
      <c r="F9" s="25" t="s">
        <v>21</v>
      </c>
      <c r="G9" s="26"/>
      <c r="H9" s="27" t="s">
        <v>22</v>
      </c>
      <c r="I9" s="27" t="s">
        <v>23</v>
      </c>
      <c r="J9" s="27" t="s">
        <v>24</v>
      </c>
      <c r="K9" s="27" t="s">
        <v>25</v>
      </c>
      <c r="L9" s="27" t="s">
        <v>22</v>
      </c>
      <c r="M9" s="27" t="s">
        <v>23</v>
      </c>
      <c r="N9" s="27" t="s">
        <v>24</v>
      </c>
      <c r="O9" s="27" t="s">
        <v>25</v>
      </c>
      <c r="P9" s="27" t="s">
        <v>22</v>
      </c>
      <c r="Q9" s="27" t="s">
        <v>23</v>
      </c>
      <c r="R9" s="27" t="s">
        <v>24</v>
      </c>
      <c r="S9" s="27" t="s">
        <v>25</v>
      </c>
      <c r="T9" s="27" t="s">
        <v>22</v>
      </c>
      <c r="U9" s="27" t="s">
        <v>23</v>
      </c>
      <c r="V9" s="27" t="s">
        <v>24</v>
      </c>
      <c r="W9" s="27" t="s">
        <v>25</v>
      </c>
      <c r="X9" s="27" t="s">
        <v>22</v>
      </c>
      <c r="Y9" s="27" t="s">
        <v>23</v>
      </c>
      <c r="Z9" s="27" t="s">
        <v>24</v>
      </c>
      <c r="AA9" s="27" t="s">
        <v>25</v>
      </c>
      <c r="AB9" s="27" t="s">
        <v>22</v>
      </c>
      <c r="AC9" s="27" t="s">
        <v>23</v>
      </c>
      <c r="AD9" s="27" t="s">
        <v>24</v>
      </c>
      <c r="AE9" s="27" t="s">
        <v>25</v>
      </c>
      <c r="AF9" s="27" t="s">
        <v>22</v>
      </c>
      <c r="AG9" s="27" t="s">
        <v>23</v>
      </c>
      <c r="AH9" s="27" t="s">
        <v>24</v>
      </c>
      <c r="AI9" s="27" t="s">
        <v>25</v>
      </c>
      <c r="AJ9" s="27" t="s">
        <v>22</v>
      </c>
      <c r="AK9" s="27" t="s">
        <v>23</v>
      </c>
      <c r="AL9" s="27" t="s">
        <v>24</v>
      </c>
      <c r="AM9" s="27" t="s">
        <v>25</v>
      </c>
      <c r="AN9" s="27" t="s">
        <v>22</v>
      </c>
      <c r="AO9" s="27" t="s">
        <v>23</v>
      </c>
      <c r="AP9" s="27" t="s">
        <v>24</v>
      </c>
      <c r="AQ9" s="27" t="s">
        <v>25</v>
      </c>
      <c r="AR9" s="27" t="s">
        <v>22</v>
      </c>
      <c r="AS9" s="27" t="s">
        <v>23</v>
      </c>
      <c r="AT9" s="27" t="s">
        <v>24</v>
      </c>
      <c r="AU9" s="27" t="s">
        <v>25</v>
      </c>
      <c r="AV9" s="27" t="s">
        <v>22</v>
      </c>
      <c r="AW9" s="27" t="s">
        <v>23</v>
      </c>
      <c r="AX9" s="27" t="s">
        <v>24</v>
      </c>
      <c r="AY9" s="27" t="s">
        <v>25</v>
      </c>
      <c r="AZ9" s="27" t="s">
        <v>22</v>
      </c>
      <c r="BA9" s="27" t="s">
        <v>23</v>
      </c>
      <c r="BB9" s="27" t="s">
        <v>24</v>
      </c>
      <c r="BC9" s="27" t="s">
        <v>25</v>
      </c>
      <c r="BD9" s="27" t="s">
        <v>22</v>
      </c>
      <c r="BE9" s="27" t="s">
        <v>23</v>
      </c>
      <c r="BF9" s="27" t="s">
        <v>24</v>
      </c>
      <c r="BG9" s="27" t="s">
        <v>25</v>
      </c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 t="str">
        <f>LEFT(TEXT(DO7,"ggg"),1)</f>
        <v>d</v>
      </c>
    </row>
    <row r="10" spans="1:119" ht="30" hidden="1" customHeight="1" x14ac:dyDescent="0.25">
      <c r="B10" s="29"/>
      <c r="C10" s="30"/>
      <c r="D10" s="31"/>
      <c r="E10" s="49"/>
      <c r="F10" s="32"/>
      <c r="H10" s="33" t="str">
        <f>IF(AND(OR($C10="Obiettivo",$C10="Attività cardine"),$E10=H8,1&lt;=$F10),1,"")</f>
        <v/>
      </c>
      <c r="I10" s="33" t="str">
        <f>IF(AND(OR($C10="Obiettivo",$C10="Attività cardine"),$E10=I8,2&lt;=$F10),1,"")</f>
        <v/>
      </c>
      <c r="J10" s="33" t="str">
        <f>IF(AND(OR($C10="Obiettivo",$C10="Attività cardine"),$E10=J8,3&lt;=$F10),1,"")</f>
        <v/>
      </c>
      <c r="K10" s="33" t="str">
        <f>IF(AND(OR($C10="Obiettivo",$C10="Attività cardine"),$E10=K8,4&lt;=$F10),1,"")</f>
        <v/>
      </c>
      <c r="L10" s="33" t="str">
        <f>IF(AND(OR($C10="Obiettivo",$C10="Attività cardine"),$E10=L8,1&lt;=$F10),1,"")</f>
        <v/>
      </c>
      <c r="M10" s="33" t="str">
        <f>IF(AND(OR($C10="Obiettivo",$C10="Attività cardine"),$E10=M8,2&lt;=$F10),1,"")</f>
        <v/>
      </c>
      <c r="N10" s="33" t="str">
        <f>IF(AND(OR($C10="Obiettivo",$C10="Attività cardine"),$E10=N8,3&lt;=$F10),1,"")</f>
        <v/>
      </c>
      <c r="O10" s="33" t="str">
        <f>IF(AND(OR($C10="Obiettivo",$C10="Attività cardine"),$E10=O8,4&lt;=$F10),1,"")</f>
        <v/>
      </c>
      <c r="P10" s="33" t="str">
        <f>IF(AND(OR($C10="Obiettivo",$C10="Attività cardine"),$E10=P8,1&lt;=$F10),1,"")</f>
        <v/>
      </c>
      <c r="Q10" s="33" t="str">
        <f>IF(AND(OR($C10="Obiettivo",$C10="Attività cardine"),$E10=Q8,2&lt;=$F10),1,"")</f>
        <v/>
      </c>
      <c r="R10" s="33" t="str">
        <f>IF(AND(OR($C10="Obiettivo",$C10="Attività cardine"),$E10=R8,3&lt;=$F10),1,"")</f>
        <v/>
      </c>
      <c r="S10" s="33" t="str">
        <f>IF(AND(OR($C10="Obiettivo",$C10="Attività cardine"),$E10=S8,4&lt;=$F10),1,"")</f>
        <v/>
      </c>
      <c r="T10" s="33" t="str">
        <f>IF(AND(OR($C10="Obiettivo",$C10="Attività cardine"),$E10=T8,1&lt;=$F10),1,"")</f>
        <v/>
      </c>
      <c r="U10" s="33" t="str">
        <f>IF(AND(OR($C10="Obiettivo",$C10="Attività cardine"),$E10=U8,2&lt;=$F10),1,"")</f>
        <v/>
      </c>
      <c r="V10" s="33" t="str">
        <f>IF(AND(OR($C10="Obiettivo",$C10="Attività cardine"),$E10=V8,3&lt;=$F10),1,"")</f>
        <v/>
      </c>
      <c r="W10" s="33" t="str">
        <f>IF(AND(OR($C10="Obiettivo",$C10="Attività cardine"),$E10=W8,4&lt;=$F10),1,"")</f>
        <v/>
      </c>
      <c r="X10" s="33" t="str">
        <f>IF(AND(OR($C10="Obiettivo",$C10="Attività cardine"),$E10=X8,1&lt;=$F10),1,"")</f>
        <v/>
      </c>
      <c r="Y10" s="33" t="str">
        <f>IF(AND(OR($C10="Obiettivo",$C10="Attività cardine"),$E10=Y8,2&lt;=$F10),1,"")</f>
        <v/>
      </c>
      <c r="Z10" s="33" t="str">
        <f>IF(AND(OR($C10="Obiettivo",$C10="Attività cardine"),$E10=Z8,3&lt;=$F10),1,"")</f>
        <v/>
      </c>
      <c r="AA10" s="33" t="str">
        <f>IF(AND(OR($C10="Obiettivo",$C10="Attività cardine"),$E10=AA8,4&lt;=$F10),1,"")</f>
        <v/>
      </c>
      <c r="AB10" s="33" t="str">
        <f>IF(AND(OR($C10="Obiettivo",$C10="Attività cardine"),$E10=AB8,1&lt;=$F10),1,"")</f>
        <v/>
      </c>
      <c r="AC10" s="33" t="str">
        <f>IF(AND(OR($C10="Obiettivo",$C10="Attività cardine"),$E10=AC8,2&lt;=$F10),1,"")</f>
        <v/>
      </c>
      <c r="AD10" s="33" t="str">
        <f>IF(AND(OR($C10="Obiettivo",$C10="Attività cardine"),$E10=AD8,3&lt;=$F10),1,"")</f>
        <v/>
      </c>
      <c r="AE10" s="33" t="str">
        <f>IF(AND(OR($C10="Obiettivo",$C10="Attività cardine"),$E10=AE8,4&lt;=$F10),1,"")</f>
        <v/>
      </c>
      <c r="AF10" s="33" t="str">
        <f>IF(AND(OR($C10="Obiettivo",$C10="Attività cardine"),$E10=AF8,1&lt;=$F10),1,"")</f>
        <v/>
      </c>
      <c r="AG10" s="33" t="str">
        <f>IF(AND(OR($C10="Obiettivo",$C10="Attività cardine"),$E10=AG8,2&lt;=$F10),1,"")</f>
        <v/>
      </c>
      <c r="AH10" s="33" t="str">
        <f>IF(AND(OR($C10="Obiettivo",$C10="Attività cardine"),$E10=AH8,3&lt;=$F10),1,"")</f>
        <v/>
      </c>
      <c r="AI10" s="33" t="str">
        <f>IF(AND(OR($C10="Obiettivo",$C10="Attività cardine"),$E10=AI8,4&lt;=$F10),1,"")</f>
        <v/>
      </c>
      <c r="AJ10" s="33" t="str">
        <f>IF(AND(OR($C10="Obiettivo",$C10="Attività cardine"),$E10=AJ8,1&lt;=$F10),1,"")</f>
        <v/>
      </c>
      <c r="AK10" s="33" t="str">
        <f>IF(AND(OR($C10="Obiettivo",$C10="Attività cardine"),$E10=AK8,2&lt;=$F10),1,"")</f>
        <v/>
      </c>
      <c r="AL10" s="33" t="str">
        <f>IF(AND(OR($C10="Obiettivo",$C10="Attività cardine"),$E10=AL8,3&lt;=$F10),1,"")</f>
        <v/>
      </c>
      <c r="AM10" s="33" t="str">
        <f>IF(AND(OR($C10="Obiettivo",$C10="Attività cardine"),$E10=AM8,4&lt;=$F10),1,"")</f>
        <v/>
      </c>
      <c r="AN10" s="33" t="str">
        <f>IF(AND(OR($C10="Obiettivo",$C10="Attività cardine"),$E10=AN8,1&lt;=$F10),1,"")</f>
        <v/>
      </c>
      <c r="AO10" s="33" t="str">
        <f>IF(AND(OR($C10="Obiettivo",$C10="Attività cardine"),$E10=AO8,2&lt;=$F10),1,"")</f>
        <v/>
      </c>
      <c r="AP10" s="33" t="str">
        <f>IF(AND(OR($C10="Obiettivo",$C10="Attività cardine"),$E10=AP8,3&lt;=$F10),1,"")</f>
        <v/>
      </c>
      <c r="AQ10" s="33" t="str">
        <f>IF(AND(OR($C10="Obiettivo",$C10="Attività cardine"),$E10=AQ8,4&lt;=$F10),1,"")</f>
        <v/>
      </c>
      <c r="AR10" s="33" t="str">
        <f>IF(AND(OR($C10="Obiettivo",$C10="Attività cardine"),$E10=AR8,1&lt;=$F10),1,"")</f>
        <v/>
      </c>
      <c r="AS10" s="33" t="str">
        <f>IF(AND(OR($C10="Obiettivo",$C10="Attività cardine"),$E10=AS8,2&lt;=$F10),1,"")</f>
        <v/>
      </c>
      <c r="AT10" s="33" t="str">
        <f>IF(AND(OR($C10="Obiettivo",$C10="Attività cardine"),$E10=AT8,3&lt;=$F10),1,"")</f>
        <v/>
      </c>
      <c r="AU10" s="33" t="str">
        <f>IF(AND(OR($C10="Obiettivo",$C10="Attività cardine"),$E10=AU8,4&lt;=$F10),1,"")</f>
        <v/>
      </c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</row>
    <row r="11" spans="1:119" s="5" customFormat="1" ht="39.75" customHeight="1" x14ac:dyDescent="0.25">
      <c r="B11" s="35"/>
      <c r="C11" s="36"/>
      <c r="D11" s="36"/>
      <c r="E11" s="50"/>
      <c r="F11" s="37"/>
      <c r="G11" s="36"/>
      <c r="H11" s="38">
        <f>IF(AND(OR($C12="Obiettivo",$C12="Attività cardine"),$E12=H8,1&lt;=$F12),1,"")</f>
        <v>1</v>
      </c>
      <c r="I11" s="38" t="str">
        <f>IF(AND(OR($C11="Obiettivo",$C11="Attività cardine"),$E11=I8,2&lt;=$F11),1,"")</f>
        <v/>
      </c>
      <c r="J11" s="38" t="str">
        <f>IF(AND(OR($C11="Obiettivo",$C11="Attività cardine"),$E11=J8,3&lt;=$F11),1,"")</f>
        <v/>
      </c>
      <c r="K11" s="38" t="str">
        <f>IF(AND(OR($C11="Obiettivo",$C11="Attività cardine"),$E11=K8,4&lt;=$F11),1,"")</f>
        <v/>
      </c>
      <c r="L11" s="38" t="str">
        <f>IF(AND(OR($C11="Obiettivo",$C11="Attività cardine"),$E11=L8,1&lt;=$F11),1,"")</f>
        <v/>
      </c>
      <c r="M11" s="38" t="str">
        <f>IF(AND(OR($C11="Obiettivo",$C11="Attività cardine"),$E11=M8,2&lt;=$F11),1,"")</f>
        <v/>
      </c>
      <c r="N11" s="38" t="str">
        <f>IF(AND(OR($C11="Obiettivo",$C11="Attività cardine"),$E11=N8,3&lt;=$F11),1,"")</f>
        <v/>
      </c>
      <c r="O11" s="38" t="str">
        <f>IF(AND(OR($C11="Obiettivo",$C11="Attività cardine"),$E11=O8,4&lt;=$F11),1,"")</f>
        <v/>
      </c>
      <c r="P11" s="38" t="str">
        <f>IF(AND(OR($C11="Obiettivo",$C11="Attività cardine"),$E11=P8,1&lt;=$F11),1,"")</f>
        <v/>
      </c>
      <c r="Q11" s="38" t="str">
        <f>IF(AND(OR($C11="Obiettivo",$C11="Attività cardine"),$E11=Q8,2&lt;=$F11),1,"")</f>
        <v/>
      </c>
      <c r="R11" s="38" t="str">
        <f>IF(AND(OR($C11="Obiettivo",$C11="Attività cardine"),$E11=R8,3&lt;=$F11),1,"")</f>
        <v/>
      </c>
      <c r="S11" s="38" t="str">
        <f>IF(AND(OR($C11="Obiettivo",$C11="Attività cardine"),$E11=S8,4&lt;=$F11),1,"")</f>
        <v/>
      </c>
      <c r="T11" s="38" t="str">
        <f>IF(AND(OR($C11="Obiettivo",$C11="Attività cardine"),$E11=T8,1&lt;=$F11),1,"")</f>
        <v/>
      </c>
      <c r="U11" s="38" t="str">
        <f>IF(AND(OR($C11="Obiettivo",$C11="Attività cardine"),$E11=U8,2&lt;=$F11),1,"")</f>
        <v/>
      </c>
      <c r="V11" s="38" t="str">
        <f>IF(AND(OR($C11="Obiettivo",$C11="Attività cardine"),$E11=V8,3&lt;=$F11),1,"")</f>
        <v/>
      </c>
      <c r="W11" s="38" t="str">
        <f>IF(AND(OR($C11="Obiettivo",$C11="Attività cardine"),$E11=W8,4&lt;=$F11),1,"")</f>
        <v/>
      </c>
      <c r="X11" s="38" t="str">
        <f>IF(AND(OR($C11="Obiettivo",$C11="Attività cardine"),$E11=X8,1&lt;=$F11),1,"")</f>
        <v/>
      </c>
      <c r="Y11" s="38" t="str">
        <f>IF(AND(OR($C11="Obiettivo",$C11="Attività cardine"),$E11=Y8,2&lt;=$F11),1,"")</f>
        <v/>
      </c>
      <c r="Z11" s="38" t="str">
        <f>IF(AND(OR($C11="Obiettivo",$C11="Attività cardine"),$E11=Z8,3&lt;=$F11),1,"")</f>
        <v/>
      </c>
      <c r="AA11" s="38" t="str">
        <f>IF(AND(OR($C11="Obiettivo",$C11="Attività cardine"),$E11=AA8,4&lt;=$F11),1,"")</f>
        <v/>
      </c>
      <c r="AB11" s="38" t="str">
        <f>IF(AND(OR($C11="Obiettivo",$C11="Attività cardine"),$E11=AB8,1&lt;=$F11),1,"")</f>
        <v/>
      </c>
      <c r="AC11" s="38" t="str">
        <f>IF(AND(OR($C11="Obiettivo",$C11="Attività cardine"),$E11=AC8,2&lt;=$F11),1,"")</f>
        <v/>
      </c>
      <c r="AD11" s="38" t="str">
        <f>IF(AND(OR($C11="Obiettivo",$C11="Attività cardine"),$E11=AD8,3&lt;=$F11),1,"")</f>
        <v/>
      </c>
      <c r="AE11" s="38" t="str">
        <f>IF(AND(OR($C11="Obiettivo",$C11="Attività cardine"),$E11=AE8,4&lt;=$F11),1,"")</f>
        <v/>
      </c>
      <c r="AF11" s="38" t="str">
        <f>IF(AND(OR($C11="Obiettivo",$C11="Attività cardine"),$E11=AF8,1&lt;=$F11),1,"")</f>
        <v/>
      </c>
      <c r="AG11" s="38" t="str">
        <f>IF(AND(OR($C11="Obiettivo",$C11="Attività cardine"),$E11=AG8,2&lt;=$F11),1,"")</f>
        <v/>
      </c>
      <c r="AH11" s="38" t="str">
        <f>IF(AND(OR($C11="Obiettivo",$C11="Attività cardine"),$E11=AH8,3&lt;=$F11),1,"")</f>
        <v/>
      </c>
      <c r="AI11" s="38" t="str">
        <f>IF(AND(OR($C11="Obiettivo",$C11="Attività cardine"),$E11=AI8,4&lt;=$F11),1,"")</f>
        <v/>
      </c>
      <c r="AJ11" s="38" t="str">
        <f>IF(AND(OR($C11="Obiettivo",$C11="Attività cardine"),$E11=AJ8,1&lt;=$F11),1,"")</f>
        <v/>
      </c>
      <c r="AK11" s="38" t="str">
        <f>IF(AND(OR($C11="Obiettivo",$C11="Attività cardine"),$E11=AK8,2&lt;=$F11),1,"")</f>
        <v/>
      </c>
      <c r="AL11" s="38" t="str">
        <f>IF(AND(OR($C11="Obiettivo",$C11="Attività cardine"),$E11=AL8,3&lt;=$F11),1,"")</f>
        <v/>
      </c>
      <c r="AM11" s="38" t="str">
        <f>IF(AND(OR($C11="Obiettivo",$C11="Attività cardine"),$E11=AM8,4&lt;=$F11),1,"")</f>
        <v/>
      </c>
      <c r="AN11" s="38" t="str">
        <f>IF(AND(OR($C11="Obiettivo",$C11="Attività cardine"),$E11=AN8,1&lt;=$F11),1,"")</f>
        <v/>
      </c>
      <c r="AO11" s="38" t="str">
        <f>IF(AND(OR($C11="Obiettivo",$C11="Attività cardine"),$E11=AO8,2&lt;=$F11),1,"")</f>
        <v/>
      </c>
      <c r="AP11" s="38" t="str">
        <f>IF(AND(OR($C11="Obiettivo",$C11="Attività cardine"),$E11=AP8,3&lt;=$F11),1,"")</f>
        <v/>
      </c>
      <c r="AQ11" s="38" t="str">
        <f>IF(AND(OR($C11="Obiettivo",$C11="Attività cardine"),$E11=AQ8,4&lt;=$F11),1,"")</f>
        <v/>
      </c>
      <c r="AR11" s="38" t="str">
        <f>IF(AND(OR($C11="Obiettivo",$C11="Attività cardine"),$E11=AR8,1&lt;=$F11),1,"")</f>
        <v/>
      </c>
      <c r="AS11" s="38" t="str">
        <f>IF(AND(OR($C11="Obiettivo",$C11="Attività cardine"),$E11=AS8,2&lt;=$F11),1,"")</f>
        <v/>
      </c>
      <c r="AT11" s="38" t="str">
        <f>IF(AND(OR($C11="Obiettivo",$C11="Attività cardine"),$E11=AT8,3&lt;=$F11),1,"")</f>
        <v/>
      </c>
      <c r="AU11" s="38" t="str">
        <f>IF(AND(OR($C11="Obiettivo",$C11="Attività cardine"),$E11=AU8,4&lt;=$F11),1,"")</f>
        <v/>
      </c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 t="str">
        <f t="shared" ref="DO11:DO23" si="0">IF(AND($C11="Obiettivo",DO$7&gt;=$E11,DO$7&lt;=$E11+$F11-1),2,IF(AND($C11="Attività cardine",DO$7&gt;=$E11,DO$7&lt;=$E11+$F11-1),1,""))</f>
        <v/>
      </c>
    </row>
    <row r="12" spans="1:119" s="5" customFormat="1" ht="39.75" customHeight="1" x14ac:dyDescent="0.25">
      <c r="A12" s="58" t="s">
        <v>30</v>
      </c>
      <c r="B12" s="40" t="s">
        <v>31</v>
      </c>
      <c r="C12" s="36" t="s">
        <v>26</v>
      </c>
      <c r="D12" s="36" t="s">
        <v>56</v>
      </c>
      <c r="E12" s="50">
        <v>46066</v>
      </c>
      <c r="F12" s="37">
        <v>3</v>
      </c>
      <c r="G12" s="36"/>
      <c r="H12" s="51"/>
      <c r="I12" s="51"/>
      <c r="J12" s="51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 t="str">
        <f t="shared" si="0"/>
        <v/>
      </c>
    </row>
    <row r="13" spans="1:119" s="5" customFormat="1" ht="39.75" customHeight="1" x14ac:dyDescent="0.25">
      <c r="A13" s="58"/>
      <c r="B13" s="40" t="s">
        <v>32</v>
      </c>
      <c r="C13" s="36" t="s">
        <v>27</v>
      </c>
      <c r="D13" s="36" t="s">
        <v>29</v>
      </c>
      <c r="E13" s="50">
        <v>46066</v>
      </c>
      <c r="F13" s="37">
        <v>2</v>
      </c>
      <c r="G13" s="36"/>
      <c r="H13" s="38"/>
      <c r="I13" s="38"/>
      <c r="J13" s="38"/>
      <c r="K13" s="51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 t="str">
        <f t="shared" si="0"/>
        <v/>
      </c>
    </row>
    <row r="14" spans="1:119" s="5" customFormat="1" ht="39.75" customHeight="1" x14ac:dyDescent="0.25">
      <c r="A14" s="58"/>
      <c r="B14" s="40" t="s">
        <v>33</v>
      </c>
      <c r="C14" s="36" t="s">
        <v>26</v>
      </c>
      <c r="D14" s="36" t="s">
        <v>57</v>
      </c>
      <c r="E14" s="50">
        <v>46073</v>
      </c>
      <c r="F14" s="37">
        <v>5</v>
      </c>
      <c r="G14" s="36"/>
      <c r="H14" s="38"/>
      <c r="I14" s="38"/>
      <c r="J14" s="38"/>
      <c r="K14" s="38"/>
      <c r="L14" s="51"/>
      <c r="M14" s="51"/>
      <c r="N14" s="51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 t="str">
        <f t="shared" si="0"/>
        <v/>
      </c>
    </row>
    <row r="15" spans="1:119" s="5" customFormat="1" ht="39.75" customHeight="1" x14ac:dyDescent="0.25">
      <c r="A15" s="58"/>
      <c r="B15" s="40" t="s">
        <v>34</v>
      </c>
      <c r="C15" s="36" t="s">
        <v>26</v>
      </c>
      <c r="D15" s="36" t="s">
        <v>29</v>
      </c>
      <c r="E15" s="50">
        <v>46073</v>
      </c>
      <c r="F15" s="37">
        <v>3</v>
      </c>
      <c r="G15" s="36"/>
      <c r="H15" s="38"/>
      <c r="I15" s="38"/>
      <c r="J15" s="38"/>
      <c r="K15" s="38"/>
      <c r="L15" s="38"/>
      <c r="M15" s="38"/>
      <c r="N15" s="51"/>
      <c r="O15" s="51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 t="str">
        <f t="shared" si="0"/>
        <v/>
      </c>
    </row>
    <row r="16" spans="1:119" s="5" customFormat="1" ht="39.75" customHeight="1" x14ac:dyDescent="0.25">
      <c r="A16" s="58"/>
      <c r="B16" s="40" t="s">
        <v>35</v>
      </c>
      <c r="C16" s="36" t="s">
        <v>26</v>
      </c>
      <c r="D16" s="36" t="s">
        <v>28</v>
      </c>
      <c r="E16" s="50">
        <v>46080</v>
      </c>
      <c r="F16" s="37">
        <v>8</v>
      </c>
      <c r="G16" s="36"/>
      <c r="H16" s="38"/>
      <c r="I16" s="38"/>
      <c r="J16" s="38"/>
      <c r="K16" s="38"/>
      <c r="L16" s="38"/>
      <c r="M16" s="38"/>
      <c r="N16" s="38"/>
      <c r="O16" s="38"/>
      <c r="P16" s="51"/>
      <c r="Q16" s="51"/>
      <c r="R16" s="51"/>
      <c r="S16" s="51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 t="str">
        <f t="shared" si="0"/>
        <v/>
      </c>
    </row>
    <row r="17" spans="1:119" s="5" customFormat="1" ht="39.75" customHeight="1" x14ac:dyDescent="0.25">
      <c r="A17" s="58"/>
      <c r="B17" s="40" t="s">
        <v>36</v>
      </c>
      <c r="C17" s="36" t="s">
        <v>26</v>
      </c>
      <c r="D17" s="36" t="s">
        <v>56</v>
      </c>
      <c r="E17" s="50">
        <v>46087</v>
      </c>
      <c r="F17" s="37">
        <v>5</v>
      </c>
      <c r="G17" s="36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51" t="s">
        <v>58</v>
      </c>
      <c r="U17" s="51" t="s">
        <v>58</v>
      </c>
      <c r="V17" s="51" t="s">
        <v>58</v>
      </c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 t="str">
        <f t="shared" si="0"/>
        <v/>
      </c>
    </row>
    <row r="18" spans="1:119" s="5" customFormat="1" ht="39.75" customHeight="1" x14ac:dyDescent="0.25">
      <c r="A18" s="61"/>
      <c r="B18" s="40" t="s">
        <v>37</v>
      </c>
      <c r="C18" s="36" t="s">
        <v>26</v>
      </c>
      <c r="D18" s="36" t="s">
        <v>57</v>
      </c>
      <c r="E18" s="50">
        <v>46087</v>
      </c>
      <c r="F18" s="37">
        <v>10</v>
      </c>
      <c r="G18" s="36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51" t="s">
        <v>58</v>
      </c>
      <c r="W18" s="51"/>
      <c r="X18" s="51"/>
      <c r="Y18" s="51"/>
      <c r="Z18" s="51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 t="str">
        <f t="shared" si="0"/>
        <v/>
      </c>
    </row>
    <row r="19" spans="1:119" s="5" customFormat="1" ht="39.75" customHeight="1" x14ac:dyDescent="0.25">
      <c r="A19" s="58" t="s">
        <v>38</v>
      </c>
      <c r="B19" s="40" t="s">
        <v>39</v>
      </c>
      <c r="C19" s="36" t="s">
        <v>26</v>
      </c>
      <c r="D19" s="36" t="s">
        <v>29</v>
      </c>
      <c r="E19" s="50">
        <v>46094</v>
      </c>
      <c r="F19" s="37">
        <v>4</v>
      </c>
      <c r="G19" s="36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51"/>
      <c r="AB19" s="51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 t="str">
        <f t="shared" si="0"/>
        <v/>
      </c>
    </row>
    <row r="20" spans="1:119" s="5" customFormat="1" ht="39.75" customHeight="1" x14ac:dyDescent="0.25">
      <c r="A20" s="58"/>
      <c r="B20" s="40" t="s">
        <v>40</v>
      </c>
      <c r="C20" s="36" t="s">
        <v>26</v>
      </c>
      <c r="D20" s="36" t="s">
        <v>28</v>
      </c>
      <c r="E20" s="50">
        <v>46101</v>
      </c>
      <c r="F20" s="37">
        <v>4</v>
      </c>
      <c r="G20" s="36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51"/>
      <c r="AD20" s="51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 t="str">
        <f t="shared" si="0"/>
        <v/>
      </c>
    </row>
    <row r="21" spans="1:119" s="5" customFormat="1" ht="39.75" customHeight="1" x14ac:dyDescent="0.25">
      <c r="A21" s="58"/>
      <c r="B21" s="40" t="s">
        <v>41</v>
      </c>
      <c r="C21" s="36" t="s">
        <v>26</v>
      </c>
      <c r="D21" s="36" t="s">
        <v>29</v>
      </c>
      <c r="E21" s="50">
        <v>46101</v>
      </c>
      <c r="F21" s="37">
        <v>2</v>
      </c>
      <c r="G21" s="36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51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 t="str">
        <f t="shared" si="0"/>
        <v/>
      </c>
    </row>
    <row r="22" spans="1:119" s="5" customFormat="1" ht="39.75" customHeight="1" x14ac:dyDescent="0.25">
      <c r="A22" s="61"/>
      <c r="B22" s="40" t="s">
        <v>42</v>
      </c>
      <c r="C22" s="36" t="s">
        <v>26</v>
      </c>
      <c r="D22" s="36" t="s">
        <v>56</v>
      </c>
      <c r="E22" s="50">
        <f t="shared" ref="E22:E34" si="1">E21+7</f>
        <v>46108</v>
      </c>
      <c r="F22" s="37">
        <v>2</v>
      </c>
      <c r="G22" s="36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51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 t="str">
        <f t="shared" si="0"/>
        <v/>
      </c>
    </row>
    <row r="23" spans="1:119" s="5" customFormat="1" ht="39.75" customHeight="1" x14ac:dyDescent="0.25">
      <c r="A23" s="57" t="s">
        <v>43</v>
      </c>
      <c r="B23" s="40" t="s">
        <v>44</v>
      </c>
      <c r="C23" s="36" t="s">
        <v>26</v>
      </c>
      <c r="D23" s="36" t="s">
        <v>28</v>
      </c>
      <c r="E23" s="50">
        <v>46108</v>
      </c>
      <c r="F23" s="37">
        <v>3</v>
      </c>
      <c r="G23" s="36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51"/>
      <c r="AH23" s="51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 t="str">
        <f t="shared" si="0"/>
        <v/>
      </c>
    </row>
    <row r="24" spans="1:119" s="5" customFormat="1" ht="39.75" customHeight="1" x14ac:dyDescent="0.25">
      <c r="A24" s="58"/>
      <c r="B24" s="40" t="s">
        <v>59</v>
      </c>
      <c r="C24" s="36"/>
      <c r="D24" s="36" t="s">
        <v>29</v>
      </c>
      <c r="E24" s="50">
        <v>46115</v>
      </c>
      <c r="F24" s="37">
        <v>5</v>
      </c>
      <c r="G24" s="36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51"/>
      <c r="AJ24" s="51"/>
      <c r="AK24" s="38"/>
      <c r="AL24" s="38"/>
      <c r="AM24" s="38"/>
      <c r="AN24" s="38"/>
      <c r="AO24" s="38"/>
      <c r="AP24" s="38"/>
      <c r="AQ24" s="38"/>
      <c r="AR24" s="38"/>
      <c r="AS24" s="38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</row>
    <row r="25" spans="1:119" s="5" customFormat="1" ht="39.75" customHeight="1" x14ac:dyDescent="0.25">
      <c r="A25" s="58"/>
      <c r="B25" s="40" t="s">
        <v>45</v>
      </c>
      <c r="C25" s="36" t="s">
        <v>26</v>
      </c>
      <c r="D25" s="36" t="s">
        <v>28</v>
      </c>
      <c r="E25" s="50">
        <f>E23+7</f>
        <v>46115</v>
      </c>
      <c r="F25" s="37">
        <v>2</v>
      </c>
      <c r="G25" s="36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51"/>
      <c r="AL25" s="38"/>
      <c r="AM25" s="38"/>
      <c r="AN25" s="38"/>
      <c r="AO25" s="38"/>
      <c r="AP25" s="38"/>
      <c r="AQ25" s="38"/>
      <c r="AR25" s="38"/>
      <c r="AS25" s="38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 t="str">
        <f t="shared" ref="DO25:DO54" si="2">IF(AND($C25="Obiettivo",DO$7&gt;=$E25,DO$7&lt;=$E25+$F25-1),2,IF(AND($C25="Attività cardine",DO$7&gt;=$E25,DO$7&lt;=$E25+$F25-1),1,""))</f>
        <v/>
      </c>
    </row>
    <row r="26" spans="1:119" s="5" customFormat="1" ht="39.75" customHeight="1" x14ac:dyDescent="0.25">
      <c r="A26" s="58"/>
      <c r="B26" s="40" t="s">
        <v>46</v>
      </c>
      <c r="C26" s="36" t="s">
        <v>26</v>
      </c>
      <c r="D26" s="36" t="s">
        <v>56</v>
      </c>
      <c r="E26" s="50">
        <f t="shared" si="1"/>
        <v>46122</v>
      </c>
      <c r="F26" s="37">
        <v>12</v>
      </c>
      <c r="G26" s="36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51"/>
      <c r="AM26" s="51"/>
      <c r="AN26" s="51"/>
      <c r="AO26" s="51"/>
      <c r="AP26" s="51"/>
      <c r="AQ26" s="51"/>
      <c r="AR26" s="38"/>
      <c r="AS26" s="38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 t="str">
        <f t="shared" si="2"/>
        <v/>
      </c>
    </row>
    <row r="27" spans="1:119" s="5" customFormat="1" ht="39.75" customHeight="1" x14ac:dyDescent="0.25">
      <c r="A27" s="58"/>
      <c r="B27" s="40" t="s">
        <v>47</v>
      </c>
      <c r="C27" s="36" t="s">
        <v>26</v>
      </c>
      <c r="D27" s="36" t="s">
        <v>57</v>
      </c>
      <c r="E27" s="50">
        <f t="shared" si="1"/>
        <v>46129</v>
      </c>
      <c r="F27" s="37">
        <v>5</v>
      </c>
      <c r="G27" s="36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51"/>
      <c r="AS27" s="51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 t="str">
        <f t="shared" si="2"/>
        <v/>
      </c>
    </row>
    <row r="28" spans="1:119" s="5" customFormat="1" ht="39.75" customHeight="1" x14ac:dyDescent="0.25">
      <c r="A28" s="61"/>
      <c r="B28" s="40" t="s">
        <v>63</v>
      </c>
      <c r="C28" s="36" t="s">
        <v>26</v>
      </c>
      <c r="D28" s="36" t="s">
        <v>57</v>
      </c>
      <c r="E28" s="50">
        <f t="shared" si="1"/>
        <v>46136</v>
      </c>
      <c r="F28" s="37">
        <v>8</v>
      </c>
      <c r="G28" s="36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51"/>
      <c r="AU28" s="51"/>
      <c r="AV28" s="51"/>
      <c r="AW28" s="51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 t="str">
        <f t="shared" si="2"/>
        <v/>
      </c>
    </row>
    <row r="29" spans="1:119" s="5" customFormat="1" ht="39.75" customHeight="1" x14ac:dyDescent="0.25">
      <c r="A29" s="57" t="s">
        <v>48</v>
      </c>
      <c r="B29" s="40" t="s">
        <v>49</v>
      </c>
      <c r="C29" s="36" t="s">
        <v>26</v>
      </c>
      <c r="D29" s="36" t="s">
        <v>57</v>
      </c>
      <c r="E29" s="50">
        <f>E28+7</f>
        <v>46143</v>
      </c>
      <c r="F29" s="37">
        <v>1</v>
      </c>
      <c r="G29" s="36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9"/>
      <c r="AU29" s="39"/>
      <c r="AV29" s="39"/>
      <c r="AW29" s="39"/>
      <c r="AX29" s="51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 t="str">
        <f t="shared" si="2"/>
        <v/>
      </c>
    </row>
    <row r="30" spans="1:119" s="5" customFormat="1" ht="39.75" customHeight="1" x14ac:dyDescent="0.25">
      <c r="A30" s="58"/>
      <c r="B30" s="40" t="s">
        <v>50</v>
      </c>
      <c r="C30" s="36" t="s">
        <v>26</v>
      </c>
      <c r="D30" s="36" t="s">
        <v>29</v>
      </c>
      <c r="E30" s="50">
        <f t="shared" si="1"/>
        <v>46150</v>
      </c>
      <c r="F30" s="37">
        <v>3</v>
      </c>
      <c r="G30" s="36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9"/>
      <c r="AU30" s="39"/>
      <c r="AV30" s="39"/>
      <c r="AW30" s="39"/>
      <c r="AX30" s="39"/>
      <c r="AY30" s="51"/>
      <c r="AZ30" s="51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 t="str">
        <f t="shared" si="2"/>
        <v/>
      </c>
    </row>
    <row r="31" spans="1:119" s="5" customFormat="1" ht="39.75" customHeight="1" x14ac:dyDescent="0.25">
      <c r="A31" s="58"/>
      <c r="B31" s="40" t="s">
        <v>51</v>
      </c>
      <c r="C31" s="36" t="s">
        <v>26</v>
      </c>
      <c r="D31" s="36" t="s">
        <v>28</v>
      </c>
      <c r="E31" s="50">
        <f t="shared" si="1"/>
        <v>46157</v>
      </c>
      <c r="F31" s="37">
        <v>2</v>
      </c>
      <c r="G31" s="36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9"/>
      <c r="AU31" s="39"/>
      <c r="AV31" s="39"/>
      <c r="AW31" s="39"/>
      <c r="AX31" s="39"/>
      <c r="AY31" s="39"/>
      <c r="AZ31" s="39"/>
      <c r="BA31" s="51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 t="str">
        <f t="shared" si="2"/>
        <v/>
      </c>
    </row>
    <row r="32" spans="1:119" s="5" customFormat="1" ht="39.75" customHeight="1" x14ac:dyDescent="0.25">
      <c r="A32" s="58"/>
      <c r="B32" s="40" t="s">
        <v>52</v>
      </c>
      <c r="C32" s="36" t="s">
        <v>26</v>
      </c>
      <c r="D32" s="36" t="s">
        <v>57</v>
      </c>
      <c r="E32" s="50">
        <f t="shared" si="1"/>
        <v>46164</v>
      </c>
      <c r="F32" s="37">
        <v>1</v>
      </c>
      <c r="G32" s="36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9"/>
      <c r="AU32" s="39"/>
      <c r="AV32" s="39"/>
      <c r="AW32" s="39"/>
      <c r="AX32" s="39"/>
      <c r="AY32" s="39"/>
      <c r="AZ32" s="39"/>
      <c r="BA32" s="39"/>
      <c r="BB32" s="51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 t="str">
        <f t="shared" si="2"/>
        <v/>
      </c>
    </row>
    <row r="33" spans="1:119" s="5" customFormat="1" ht="39.75" customHeight="1" x14ac:dyDescent="0.25">
      <c r="A33" s="59" t="s">
        <v>53</v>
      </c>
      <c r="B33" s="40" t="s">
        <v>54</v>
      </c>
      <c r="C33" s="36" t="s">
        <v>26</v>
      </c>
      <c r="D33" s="36" t="s">
        <v>56</v>
      </c>
      <c r="E33" s="50">
        <f>E32+7</f>
        <v>46171</v>
      </c>
      <c r="F33" s="37">
        <v>4</v>
      </c>
      <c r="G33" s="36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9"/>
      <c r="AU33" s="39"/>
      <c r="AV33" s="39"/>
      <c r="AW33" s="39"/>
      <c r="AX33" s="39"/>
      <c r="AY33" s="39"/>
      <c r="AZ33" s="39"/>
      <c r="BA33" s="39"/>
      <c r="BB33" s="39"/>
      <c r="BC33" s="51"/>
      <c r="BD33" s="51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 t="str">
        <f t="shared" si="2"/>
        <v/>
      </c>
    </row>
    <row r="34" spans="1:119" ht="39.75" customHeight="1" x14ac:dyDescent="0.25">
      <c r="A34" s="60"/>
      <c r="B34" s="40" t="s">
        <v>55</v>
      </c>
      <c r="C34" s="36" t="s">
        <v>26</v>
      </c>
      <c r="D34" s="36" t="s">
        <v>57</v>
      </c>
      <c r="E34" s="50">
        <f t="shared" si="1"/>
        <v>46178</v>
      </c>
      <c r="F34" s="37">
        <v>3</v>
      </c>
      <c r="G34" s="41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9"/>
      <c r="AW34" s="39"/>
      <c r="AX34" s="39"/>
      <c r="AY34" s="39"/>
      <c r="AZ34" s="39"/>
      <c r="BA34" s="39"/>
      <c r="BB34" s="39"/>
      <c r="BC34" s="39"/>
      <c r="BD34" s="39"/>
      <c r="BE34" s="51"/>
      <c r="BF34" s="51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 t="str">
        <f t="shared" si="2"/>
        <v/>
      </c>
    </row>
    <row r="35" spans="1:119" ht="30" customHeight="1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 t="str">
        <f t="shared" si="2"/>
        <v/>
      </c>
    </row>
    <row r="36" spans="1:119" ht="30" customHeight="1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 t="str">
        <f t="shared" si="2"/>
        <v/>
      </c>
    </row>
    <row r="37" spans="1:119" ht="30" customHeight="1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 t="str">
        <f t="shared" si="2"/>
        <v/>
      </c>
    </row>
    <row r="38" spans="1:119" ht="30" customHeight="1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 t="e">
        <f>IF(AND($C38="Obiettivo",DO$7&gt;=#REF!,DO$7&lt;=#REF!+$F38-1),2,IF(AND($C38="Attività cardine",DO$7&gt;=#REF!,DO$7&lt;=#REF!+$F38-1),1,""))</f>
        <v>#REF!</v>
      </c>
    </row>
    <row r="39" spans="1:119" ht="30" customHeight="1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 t="e">
        <f>IF(AND($C39="Obiettivo",DO$7&gt;=#REF!,DO$7&lt;=#REF!+$F39-1),2,IF(AND($C39="Attività cardine",DO$7&gt;=#REF!,DO$7&lt;=#REF!+$F39-1),1,""))</f>
        <v>#REF!</v>
      </c>
    </row>
    <row r="40" spans="1:119" ht="30" customHeight="1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 t="str">
        <f t="shared" si="2"/>
        <v/>
      </c>
    </row>
    <row r="41" spans="1:119" ht="30" customHeight="1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 t="str">
        <f t="shared" si="2"/>
        <v/>
      </c>
    </row>
    <row r="42" spans="1:119" ht="30" customHeight="1" x14ac:dyDescent="0.2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 t="str">
        <f t="shared" si="2"/>
        <v/>
      </c>
    </row>
    <row r="43" spans="1:119" ht="30" customHeight="1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 t="str">
        <f t="shared" si="2"/>
        <v/>
      </c>
    </row>
    <row r="44" spans="1:119" ht="30" customHeight="1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 t="str">
        <f t="shared" si="2"/>
        <v/>
      </c>
    </row>
    <row r="45" spans="1:119" ht="30" customHeight="1" x14ac:dyDescent="0.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 t="str">
        <f t="shared" si="2"/>
        <v/>
      </c>
    </row>
    <row r="46" spans="1:119" ht="30" customHeight="1" x14ac:dyDescent="0.2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 t="str">
        <f t="shared" si="2"/>
        <v/>
      </c>
    </row>
    <row r="47" spans="1:119" ht="30" customHeight="1" x14ac:dyDescent="0.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 t="str">
        <f t="shared" si="2"/>
        <v/>
      </c>
    </row>
    <row r="48" spans="1:119" ht="30" customHeight="1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 t="str">
        <f t="shared" si="2"/>
        <v/>
      </c>
    </row>
    <row r="49" spans="1:119" ht="30" customHeight="1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 t="str">
        <f t="shared" si="2"/>
        <v/>
      </c>
    </row>
    <row r="50" spans="1:119" ht="30" customHeight="1" x14ac:dyDescent="0.2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 t="str">
        <f t="shared" si="2"/>
        <v/>
      </c>
    </row>
    <row r="51" spans="1:119" ht="30" customHeight="1" x14ac:dyDescent="0.2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 t="str">
        <f t="shared" si="2"/>
        <v/>
      </c>
    </row>
    <row r="52" spans="1:119" ht="30" customHeight="1" x14ac:dyDescent="0.2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 t="str">
        <f t="shared" si="2"/>
        <v/>
      </c>
    </row>
    <row r="53" spans="1:119" ht="30" customHeight="1" x14ac:dyDescent="0.2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 t="str">
        <f t="shared" si="2"/>
        <v/>
      </c>
    </row>
    <row r="54" spans="1:119" ht="30" customHeight="1" x14ac:dyDescent="0.2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/>
      <c r="DI54" s="39"/>
      <c r="DJ54" s="39"/>
      <c r="DK54" s="39"/>
      <c r="DL54" s="39"/>
      <c r="DM54" s="39"/>
      <c r="DN54" s="39"/>
      <c r="DO54" s="39" t="str">
        <f t="shared" si="2"/>
        <v/>
      </c>
    </row>
    <row r="55" spans="1:119" ht="30" customHeight="1" x14ac:dyDescent="0.2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  <c r="DJ55" s="39"/>
      <c r="DK55" s="39"/>
      <c r="DL55" s="39"/>
      <c r="DM55" s="39"/>
      <c r="DN55" s="39"/>
      <c r="DO55" s="39" t="str">
        <f t="shared" ref="DO55:DO90" si="3">IF(AND($C55="Obiettivo",DO$7&gt;=$E55,DO$7&lt;=$E55+$F55-1),2,IF(AND($C55="Attività cardine",DO$7&gt;=$E55,DO$7&lt;=$E55+$F55-1),1,""))</f>
        <v/>
      </c>
    </row>
    <row r="56" spans="1:119" ht="30" customHeight="1" x14ac:dyDescent="0.2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 t="str">
        <f t="shared" si="3"/>
        <v/>
      </c>
    </row>
    <row r="57" spans="1:119" ht="30" customHeight="1" x14ac:dyDescent="0.2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  <c r="DI57" s="39"/>
      <c r="DJ57" s="39"/>
      <c r="DK57" s="39"/>
      <c r="DL57" s="39"/>
      <c r="DM57" s="39"/>
      <c r="DN57" s="39"/>
      <c r="DO57" s="39" t="str">
        <f t="shared" si="3"/>
        <v/>
      </c>
    </row>
    <row r="58" spans="1:119" ht="30" customHeight="1" x14ac:dyDescent="0.2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 t="str">
        <f t="shared" si="3"/>
        <v/>
      </c>
    </row>
    <row r="59" spans="1:119" ht="30" customHeight="1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 t="str">
        <f t="shared" si="3"/>
        <v/>
      </c>
    </row>
    <row r="60" spans="1:119" ht="30" customHeight="1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39"/>
      <c r="DI60" s="39"/>
      <c r="DJ60" s="39"/>
      <c r="DK60" s="39"/>
      <c r="DL60" s="39"/>
      <c r="DM60" s="39"/>
      <c r="DN60" s="39"/>
      <c r="DO60" s="39" t="str">
        <f t="shared" si="3"/>
        <v/>
      </c>
    </row>
    <row r="61" spans="1:119" ht="30" customHeight="1" x14ac:dyDescent="0.2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39"/>
      <c r="DI61" s="39"/>
      <c r="DJ61" s="39"/>
      <c r="DK61" s="39"/>
      <c r="DL61" s="39"/>
      <c r="DM61" s="39"/>
      <c r="DN61" s="39"/>
      <c r="DO61" s="39" t="str">
        <f t="shared" si="3"/>
        <v/>
      </c>
    </row>
    <row r="62" spans="1:119" ht="30" customHeight="1" x14ac:dyDescent="0.2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  <c r="DH62" s="39"/>
      <c r="DI62" s="39"/>
      <c r="DJ62" s="39"/>
      <c r="DK62" s="39"/>
      <c r="DL62" s="39"/>
      <c r="DM62" s="39"/>
      <c r="DN62" s="39"/>
      <c r="DO62" s="39" t="str">
        <f t="shared" si="3"/>
        <v/>
      </c>
    </row>
    <row r="63" spans="1:119" ht="30" customHeight="1" x14ac:dyDescent="0.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  <c r="DI63" s="39"/>
      <c r="DJ63" s="39"/>
      <c r="DK63" s="39"/>
      <c r="DL63" s="39"/>
      <c r="DM63" s="39"/>
      <c r="DN63" s="39"/>
      <c r="DO63" s="39" t="str">
        <f t="shared" si="3"/>
        <v/>
      </c>
    </row>
    <row r="64" spans="1:119" ht="30" customHeight="1" x14ac:dyDescent="0.2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  <c r="DI64" s="39"/>
      <c r="DJ64" s="39"/>
      <c r="DK64" s="39"/>
      <c r="DL64" s="39"/>
      <c r="DM64" s="39"/>
      <c r="DN64" s="39"/>
      <c r="DO64" s="39" t="str">
        <f t="shared" si="3"/>
        <v/>
      </c>
    </row>
    <row r="65" spans="1:119" ht="30" customHeight="1" x14ac:dyDescent="0.2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/>
      <c r="DD65" s="39"/>
      <c r="DE65" s="39"/>
      <c r="DF65" s="39"/>
      <c r="DG65" s="39"/>
      <c r="DH65" s="39"/>
      <c r="DI65" s="39"/>
      <c r="DJ65" s="39"/>
      <c r="DK65" s="39"/>
      <c r="DL65" s="39"/>
      <c r="DM65" s="39"/>
      <c r="DN65" s="39"/>
      <c r="DO65" s="39" t="str">
        <f t="shared" si="3"/>
        <v/>
      </c>
    </row>
    <row r="66" spans="1:119" ht="30" customHeight="1" x14ac:dyDescent="0.2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  <c r="DH66" s="39"/>
      <c r="DI66" s="39"/>
      <c r="DJ66" s="39"/>
      <c r="DK66" s="39"/>
      <c r="DL66" s="39"/>
      <c r="DM66" s="39"/>
      <c r="DN66" s="39"/>
      <c r="DO66" s="39" t="str">
        <f t="shared" si="3"/>
        <v/>
      </c>
    </row>
    <row r="67" spans="1:119" ht="30" customHeight="1" x14ac:dyDescent="0.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  <c r="DI67" s="39"/>
      <c r="DJ67" s="39"/>
      <c r="DK67" s="39"/>
      <c r="DL67" s="39"/>
      <c r="DM67" s="39"/>
      <c r="DN67" s="39"/>
      <c r="DO67" s="39" t="str">
        <f t="shared" si="3"/>
        <v/>
      </c>
    </row>
    <row r="68" spans="1:119" ht="30" customHeight="1" x14ac:dyDescent="0.2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/>
      <c r="DI68" s="39"/>
      <c r="DJ68" s="39"/>
      <c r="DK68" s="39"/>
      <c r="DL68" s="39"/>
      <c r="DM68" s="39"/>
      <c r="DN68" s="39"/>
      <c r="DO68" s="39" t="str">
        <f t="shared" si="3"/>
        <v/>
      </c>
    </row>
    <row r="69" spans="1:119" ht="30" customHeight="1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  <c r="DI69" s="39"/>
      <c r="DJ69" s="39"/>
      <c r="DK69" s="39"/>
      <c r="DL69" s="39"/>
      <c r="DM69" s="39"/>
      <c r="DN69" s="39"/>
      <c r="DO69" s="39" t="str">
        <f t="shared" si="3"/>
        <v/>
      </c>
    </row>
    <row r="70" spans="1:119" ht="30" customHeight="1" x14ac:dyDescent="0.2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 t="str">
        <f t="shared" si="3"/>
        <v/>
      </c>
    </row>
    <row r="71" spans="1:119" ht="30" customHeight="1" x14ac:dyDescent="0.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  <c r="DJ71" s="39"/>
      <c r="DK71" s="39"/>
      <c r="DL71" s="39"/>
      <c r="DM71" s="39"/>
      <c r="DN71" s="39"/>
      <c r="DO71" s="39" t="str">
        <f t="shared" si="3"/>
        <v/>
      </c>
    </row>
    <row r="72" spans="1:119" ht="30" customHeight="1" x14ac:dyDescent="0.2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  <c r="DI72" s="39"/>
      <c r="DJ72" s="39"/>
      <c r="DK72" s="39"/>
      <c r="DL72" s="39"/>
      <c r="DM72" s="39"/>
      <c r="DN72" s="39"/>
      <c r="DO72" s="39" t="str">
        <f t="shared" si="3"/>
        <v/>
      </c>
    </row>
    <row r="73" spans="1:119" ht="30" customHeight="1" x14ac:dyDescent="0.2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/>
      <c r="DI73" s="39"/>
      <c r="DJ73" s="39"/>
      <c r="DK73" s="39"/>
      <c r="DL73" s="39"/>
      <c r="DM73" s="39"/>
      <c r="DN73" s="39"/>
      <c r="DO73" s="39" t="str">
        <f t="shared" si="3"/>
        <v/>
      </c>
    </row>
    <row r="74" spans="1:119" ht="30" customHeight="1" x14ac:dyDescent="0.2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/>
      <c r="DI74" s="39"/>
      <c r="DJ74" s="39"/>
      <c r="DK74" s="39"/>
      <c r="DL74" s="39"/>
      <c r="DM74" s="39"/>
      <c r="DN74" s="39"/>
      <c r="DO74" s="39" t="str">
        <f t="shared" si="3"/>
        <v/>
      </c>
    </row>
    <row r="75" spans="1:119" ht="30" customHeight="1" x14ac:dyDescent="0.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39"/>
      <c r="DI75" s="39"/>
      <c r="DJ75" s="39"/>
      <c r="DK75" s="39"/>
      <c r="DL75" s="39"/>
      <c r="DM75" s="39"/>
      <c r="DN75" s="39"/>
      <c r="DO75" s="39" t="str">
        <f t="shared" si="3"/>
        <v/>
      </c>
    </row>
    <row r="76" spans="1:119" ht="30" customHeight="1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/>
      <c r="DI76" s="39"/>
      <c r="DJ76" s="39"/>
      <c r="DK76" s="39"/>
      <c r="DL76" s="39"/>
      <c r="DM76" s="39"/>
      <c r="DN76" s="39"/>
      <c r="DO76" s="39" t="str">
        <f t="shared" si="3"/>
        <v/>
      </c>
    </row>
    <row r="77" spans="1:119" ht="30" customHeight="1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39"/>
      <c r="DI77" s="39"/>
      <c r="DJ77" s="39"/>
      <c r="DK77" s="39"/>
      <c r="DL77" s="39"/>
      <c r="DM77" s="39"/>
      <c r="DN77" s="39"/>
      <c r="DO77" s="39" t="str">
        <f t="shared" si="3"/>
        <v/>
      </c>
    </row>
    <row r="78" spans="1:119" ht="30" customHeight="1" x14ac:dyDescent="0.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/>
      <c r="DI78" s="39"/>
      <c r="DJ78" s="39"/>
      <c r="DK78" s="39"/>
      <c r="DL78" s="39"/>
      <c r="DM78" s="39"/>
      <c r="DN78" s="39"/>
      <c r="DO78" s="39" t="str">
        <f t="shared" si="3"/>
        <v/>
      </c>
    </row>
    <row r="79" spans="1:119" ht="30" customHeight="1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/>
      <c r="DI79" s="39"/>
      <c r="DJ79" s="39"/>
      <c r="DK79" s="39"/>
      <c r="DL79" s="39"/>
      <c r="DM79" s="39"/>
      <c r="DN79" s="39"/>
      <c r="DO79" s="39" t="str">
        <f t="shared" si="3"/>
        <v/>
      </c>
    </row>
    <row r="80" spans="1:119" ht="30" customHeight="1" x14ac:dyDescent="0.2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39"/>
      <c r="DI80" s="39"/>
      <c r="DJ80" s="39"/>
      <c r="DK80" s="39"/>
      <c r="DL80" s="39"/>
      <c r="DM80" s="39"/>
      <c r="DN80" s="39"/>
      <c r="DO80" s="39" t="str">
        <f t="shared" si="3"/>
        <v/>
      </c>
    </row>
    <row r="81" spans="1:119" ht="30" customHeight="1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  <c r="DH81" s="39"/>
      <c r="DI81" s="39"/>
      <c r="DJ81" s="39"/>
      <c r="DK81" s="39"/>
      <c r="DL81" s="39"/>
      <c r="DM81" s="39"/>
      <c r="DN81" s="39"/>
      <c r="DO81" s="39" t="str">
        <f t="shared" si="3"/>
        <v/>
      </c>
    </row>
    <row r="82" spans="1:119" ht="30" customHeight="1" x14ac:dyDescent="0.2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 t="str">
        <f t="shared" si="3"/>
        <v/>
      </c>
    </row>
    <row r="83" spans="1:119" ht="30" customHeight="1" x14ac:dyDescent="0.2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/>
      <c r="DI83" s="39"/>
      <c r="DJ83" s="39"/>
      <c r="DK83" s="39"/>
      <c r="DL83" s="39"/>
      <c r="DM83" s="39"/>
      <c r="DN83" s="39"/>
      <c r="DO83" s="39" t="str">
        <f t="shared" si="3"/>
        <v/>
      </c>
    </row>
    <row r="84" spans="1:119" ht="30" customHeight="1" x14ac:dyDescent="0.2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  <c r="DI84" s="39"/>
      <c r="DJ84" s="39"/>
      <c r="DK84" s="39"/>
      <c r="DL84" s="39"/>
      <c r="DM84" s="39"/>
      <c r="DN84" s="39"/>
      <c r="DO84" s="39" t="str">
        <f t="shared" si="3"/>
        <v/>
      </c>
    </row>
    <row r="85" spans="1:119" ht="30" customHeight="1" x14ac:dyDescent="0.2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  <c r="DI85" s="39"/>
      <c r="DJ85" s="39"/>
      <c r="DK85" s="39"/>
      <c r="DL85" s="39"/>
      <c r="DM85" s="39"/>
      <c r="DN85" s="39"/>
      <c r="DO85" s="39" t="str">
        <f t="shared" si="3"/>
        <v/>
      </c>
    </row>
    <row r="86" spans="1:119" ht="30" customHeight="1" x14ac:dyDescent="0.2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39"/>
      <c r="DI86" s="39"/>
      <c r="DJ86" s="39"/>
      <c r="DK86" s="39"/>
      <c r="DL86" s="39"/>
      <c r="DM86" s="39"/>
      <c r="DN86" s="39"/>
      <c r="DO86" s="39" t="str">
        <f t="shared" si="3"/>
        <v/>
      </c>
    </row>
    <row r="87" spans="1:119" ht="30" customHeight="1" x14ac:dyDescent="0.2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  <c r="DH87" s="39"/>
      <c r="DI87" s="39"/>
      <c r="DJ87" s="39"/>
      <c r="DK87" s="39"/>
      <c r="DL87" s="39"/>
      <c r="DM87" s="39"/>
      <c r="DN87" s="39"/>
      <c r="DO87" s="39" t="str">
        <f t="shared" si="3"/>
        <v/>
      </c>
    </row>
    <row r="88" spans="1:119" ht="30" customHeight="1" x14ac:dyDescent="0.2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  <c r="DJ88" s="39"/>
      <c r="DK88" s="39"/>
      <c r="DL88" s="39"/>
      <c r="DM88" s="39"/>
      <c r="DN88" s="39"/>
      <c r="DO88" s="39" t="str">
        <f t="shared" si="3"/>
        <v/>
      </c>
    </row>
    <row r="89" spans="1:119" ht="30" customHeight="1" x14ac:dyDescent="0.2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  <c r="DH89" s="39"/>
      <c r="DI89" s="39"/>
      <c r="DJ89" s="39"/>
      <c r="DK89" s="39"/>
      <c r="DL89" s="39"/>
      <c r="DM89" s="39"/>
      <c r="DN89" s="39"/>
      <c r="DO89" s="39" t="str">
        <f t="shared" si="3"/>
        <v/>
      </c>
    </row>
    <row r="90" spans="1:119" ht="30" customHeight="1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  <c r="DH90" s="39"/>
      <c r="DI90" s="39"/>
      <c r="DJ90" s="39"/>
      <c r="DK90" s="39"/>
      <c r="DL90" s="39"/>
      <c r="DM90" s="39"/>
      <c r="DN90" s="39"/>
      <c r="DO90" s="39" t="str">
        <f t="shared" si="3"/>
        <v/>
      </c>
    </row>
    <row r="91" spans="1:119" ht="30" customHeight="1" x14ac:dyDescent="0.2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  <c r="DH91" s="39"/>
      <c r="DI91" s="39"/>
      <c r="DJ91" s="39"/>
      <c r="DK91" s="39"/>
      <c r="DL91" s="39"/>
      <c r="DM91" s="39"/>
      <c r="DN91" s="39"/>
      <c r="DO91" s="39"/>
    </row>
    <row r="92" spans="1:119" ht="30" customHeight="1" x14ac:dyDescent="0.25">
      <c r="H92" s="42" t="str">
        <f>IF(AND(OR($C92="Obiettivo",$C92="Attività cardine"),$E92=H8,1&lt;=$F92),1,"")</f>
        <v/>
      </c>
      <c r="I92" s="42" t="str">
        <f>IF(AND(OR($C92="Obiettivo",$C92="Attività cardine"),$E92=I8,2&lt;=$F92),1,"")</f>
        <v/>
      </c>
      <c r="J92" s="42" t="str">
        <f>IF(AND(OR($C92="Obiettivo",$C92="Attività cardine"),$E92=J8,3&lt;=$F92),1,"")</f>
        <v/>
      </c>
      <c r="K92" s="42" t="str">
        <f>IF(AND(OR($C92="Obiettivo",$C92="Attività cardine"),$E92=K8,4&lt;=$F92),1,"")</f>
        <v/>
      </c>
      <c r="L92" s="42" t="str">
        <f>IF(AND(OR($C92="Obiettivo",$C92="Attività cardine"),$E92=L8,1&lt;=$F92),1,"")</f>
        <v/>
      </c>
      <c r="M92" s="42" t="str">
        <f>IF(AND(OR($C92="Obiettivo",$C92="Attività cardine"),$E92=M8,2&lt;=$F92),1,"")</f>
        <v/>
      </c>
      <c r="N92" s="42" t="str">
        <f>IF(AND(OR($C92="Obiettivo",$C92="Attività cardine"),$E92=N8,3&lt;=$F92),1,"")</f>
        <v/>
      </c>
      <c r="O92" s="42" t="str">
        <f>IF(AND(OR($C92="Obiettivo",$C92="Attività cardine"),$E92=O8,4&lt;=$F92),1,"")</f>
        <v/>
      </c>
      <c r="P92" s="42" t="str">
        <f>IF(AND(OR($C92="Obiettivo",$C92="Attività cardine"),$E92=P8,1&lt;=$F92),1,"")</f>
        <v/>
      </c>
      <c r="Q92" s="42" t="str">
        <f>IF(AND(OR($C92="Obiettivo",$C92="Attività cardine"),$E92=Q8,2&lt;=$F92),1,"")</f>
        <v/>
      </c>
      <c r="R92" s="42" t="str">
        <f>IF(AND(OR($C92="Obiettivo",$C92="Attività cardine"),$E92=R8,3&lt;=$F92),1,"")</f>
        <v/>
      </c>
      <c r="S92" s="42" t="str">
        <f>IF(AND(OR($C92="Obiettivo",$C92="Attività cardine"),$E92=S8,4&lt;=$F92),1,"")</f>
        <v/>
      </c>
      <c r="T92" s="42" t="str">
        <f>IF(AND(OR($C92="Obiettivo",$C92="Attività cardine"),$E92=T8,1&lt;=$F92),1,"")</f>
        <v/>
      </c>
      <c r="U92" s="42" t="str">
        <f>IF(AND(OR($C92="Obiettivo",$C92="Attività cardine"),$E92=U8,2&lt;=$F92),1,"")</f>
        <v/>
      </c>
      <c r="V92" s="42" t="str">
        <f>IF(AND(OR($C92="Obiettivo",$C92="Attività cardine"),$E92=V8,3&lt;=$F92),1,"")</f>
        <v/>
      </c>
      <c r="W92" s="42" t="str">
        <f>IF(AND(OR($C92="Obiettivo",$C92="Attività cardine"),$E92=W8,4&lt;=$F92),1,"")</f>
        <v/>
      </c>
      <c r="X92" s="42" t="str">
        <f>IF(AND(OR($C92="Obiettivo",$C92="Attività cardine"),$E92=X8,1&lt;=$F92),1,"")</f>
        <v/>
      </c>
      <c r="Y92" s="42" t="str">
        <f>IF(AND(OR($C92="Obiettivo",$C92="Attività cardine"),$E92=Y8,2&lt;=$F92),1,"")</f>
        <v/>
      </c>
      <c r="Z92" s="42" t="str">
        <f>IF(AND(OR($C92="Obiettivo",$C92="Attività cardine"),$E92=Z8,3&lt;=$F92),1,"")</f>
        <v/>
      </c>
      <c r="AA92" s="42" t="str">
        <f>IF(AND(OR($C92="Obiettivo",$C92="Attività cardine"),$E92=AA8,4&lt;=$F92),1,"")</f>
        <v/>
      </c>
      <c r="AB92" s="42" t="str">
        <f>IF(AND(OR($C92="Obiettivo",$C92="Attività cardine"),$E92=AB8,1&lt;=$F92),1,"")</f>
        <v/>
      </c>
      <c r="AC92" s="42" t="str">
        <f>IF(AND(OR($C92="Obiettivo",$C92="Attività cardine"),$E92=AC8,2&lt;=$F92),1,"")</f>
        <v/>
      </c>
      <c r="AD92" s="42" t="str">
        <f>IF(AND(OR($C92="Obiettivo",$C92="Attività cardine"),$E92=AD8,3&lt;=$F92),1,"")</f>
        <v/>
      </c>
      <c r="AE92" s="42" t="str">
        <f>IF(AND(OR($C92="Obiettivo",$C92="Attività cardine"),$E92=AE8,4&lt;=$F92),1,"")</f>
        <v/>
      </c>
      <c r="AF92" s="42" t="str">
        <f>IF(AND(OR($C92="Obiettivo",$C92="Attività cardine"),$E92=AF8,1&lt;=$F92),1,"")</f>
        <v/>
      </c>
      <c r="AG92" s="42" t="str">
        <f>IF(AND(OR($C92="Obiettivo",$C92="Attività cardine"),$E92=AG8,2&lt;=$F92),1,"")</f>
        <v/>
      </c>
      <c r="AH92" s="42" t="str">
        <f>IF(AND(OR($C92="Obiettivo",$C92="Attività cardine"),$E92=AH8,3&lt;=$F92),1,"")</f>
        <v/>
      </c>
      <c r="AI92" s="42" t="str">
        <f>IF(AND(OR($C92="Obiettivo",$C92="Attività cardine"),$E92=AI8,4&lt;=$F92),1,"")</f>
        <v/>
      </c>
      <c r="AJ92" s="42" t="str">
        <f>IF(AND(OR($C92="Obiettivo",$C92="Attività cardine"),$E92=AJ8,1&lt;=$F92),1,"")</f>
        <v/>
      </c>
      <c r="AK92" s="42" t="str">
        <f>IF(AND(OR($C92="Obiettivo",$C92="Attività cardine"),$E92=AK8,2&lt;=$F92),1,"")</f>
        <v/>
      </c>
      <c r="AL92" s="42" t="str">
        <f>IF(AND(OR($C92="Obiettivo",$C92="Attività cardine"),$E92=AL8,3&lt;=$F92),1,"")</f>
        <v/>
      </c>
      <c r="AM92" s="42" t="str">
        <f>IF(AND(OR($C92="Obiettivo",$C92="Attività cardine"),$E92=AM8,4&lt;=$F92),1,"")</f>
        <v/>
      </c>
      <c r="AN92" s="42" t="str">
        <f>IF(AND(OR($C92="Obiettivo",$C92="Attività cardine"),$E92=AN8,1&lt;=$F92),1,"")</f>
        <v/>
      </c>
      <c r="AO92" s="42" t="str">
        <f>IF(AND(OR($C92="Obiettivo",$C92="Attività cardine"),$E92=AO8,2&lt;=$F92),1,"")</f>
        <v/>
      </c>
      <c r="AP92" s="42" t="str">
        <f>IF(AND(OR($C92="Obiettivo",$C92="Attività cardine"),$E92=AP8,3&lt;=$F92),1,"")</f>
        <v/>
      </c>
      <c r="AQ92" s="42" t="str">
        <f>IF(AND(OR($C92="Obiettivo",$C92="Attività cardine"),$E92=AQ8,4&lt;=$F92),1,"")</f>
        <v/>
      </c>
      <c r="AR92" s="42" t="str">
        <f>IF(AND(OR($C92="Obiettivo",$C92="Attività cardine"),$E92=AR8,1&lt;=$F92),1,"")</f>
        <v/>
      </c>
      <c r="AS92" s="42" t="str">
        <f>IF(AND(OR($C92="Obiettivo",$C92="Attività cardine"),$E92=AS8,2&lt;=$F92),1,"")</f>
        <v/>
      </c>
      <c r="AT92" s="42" t="str">
        <f>IF(AND(OR($C92="Obiettivo",$C92="Attività cardine"),$E92=AT8,3&lt;=$F92),1,"")</f>
        <v/>
      </c>
      <c r="AU92" s="42" t="str">
        <f>IF(AND(OR($C92="Obiettivo",$C92="Attività cardine"),$E92=AU8,4&lt;=$F92),1,"")</f>
        <v/>
      </c>
    </row>
    <row r="93" spans="1:119" ht="30" customHeight="1" x14ac:dyDescent="0.25">
      <c r="H93" s="42" t="str">
        <f>IF(AND(OR($C93="Obiettivo",$C93="Attività cardine"),$E93=H8,1&lt;=$F93),1,"")</f>
        <v/>
      </c>
      <c r="I93" s="42" t="str">
        <f>IF(AND(OR($C93="Obiettivo",$C93="Attività cardine"),$E93=I8,2&lt;=$F93),1,"")</f>
        <v/>
      </c>
      <c r="J93" s="42" t="str">
        <f>IF(AND(OR($C93="Obiettivo",$C93="Attività cardine"),$E93=J8,3&lt;=$F93),1,"")</f>
        <v/>
      </c>
      <c r="K93" s="42" t="str">
        <f>IF(AND(OR($C93="Obiettivo",$C93="Attività cardine"),$E93=K8,4&lt;=$F93),1,"")</f>
        <v/>
      </c>
      <c r="L93" s="42" t="str">
        <f>IF(AND(OR($C93="Obiettivo",$C93="Attività cardine"),$E93=L8,1&lt;=$F93),1,"")</f>
        <v/>
      </c>
      <c r="M93" s="42" t="str">
        <f>IF(AND(OR($C93="Obiettivo",$C93="Attività cardine"),$E93=M8,2&lt;=$F93),1,"")</f>
        <v/>
      </c>
      <c r="N93" s="42" t="str">
        <f>IF(AND(OR($C93="Obiettivo",$C93="Attività cardine"),$E93=N8,3&lt;=$F93),1,"")</f>
        <v/>
      </c>
      <c r="O93" s="42" t="str">
        <f>IF(AND(OR($C93="Obiettivo",$C93="Attività cardine"),$E93=O8,4&lt;=$F93),1,"")</f>
        <v/>
      </c>
      <c r="P93" s="42" t="str">
        <f>IF(AND(OR($C93="Obiettivo",$C93="Attività cardine"),$E93=P8,1&lt;=$F93),1,"")</f>
        <v/>
      </c>
      <c r="Q93" s="42" t="str">
        <f>IF(AND(OR($C93="Obiettivo",$C93="Attività cardine"),$E93=Q8,2&lt;=$F93),1,"")</f>
        <v/>
      </c>
      <c r="R93" s="42" t="str">
        <f>IF(AND(OR($C93="Obiettivo",$C93="Attività cardine"),$E93=R8,3&lt;=$F93),1,"")</f>
        <v/>
      </c>
      <c r="S93" s="42" t="str">
        <f>IF(AND(OR($C93="Obiettivo",$C93="Attività cardine"),$E93=S8,4&lt;=$F93),1,"")</f>
        <v/>
      </c>
      <c r="T93" s="42" t="str">
        <f>IF(AND(OR($C93="Obiettivo",$C93="Attività cardine"),$E93=T8,1&lt;=$F93),1,"")</f>
        <v/>
      </c>
      <c r="U93" s="42" t="str">
        <f>IF(AND(OR($C93="Obiettivo",$C93="Attività cardine"),$E93=U8,2&lt;=$F93),1,"")</f>
        <v/>
      </c>
      <c r="V93" s="42" t="str">
        <f>IF(AND(OR($C93="Obiettivo",$C93="Attività cardine"),$E93=V8,3&lt;=$F93),1,"")</f>
        <v/>
      </c>
      <c r="W93" s="42" t="str">
        <f>IF(AND(OR($C93="Obiettivo",$C93="Attività cardine"),$E93=W8,4&lt;=$F93),1,"")</f>
        <v/>
      </c>
      <c r="X93" s="42" t="str">
        <f>IF(AND(OR($C93="Obiettivo",$C93="Attività cardine"),$E93=X8,1&lt;=$F93),1,"")</f>
        <v/>
      </c>
      <c r="Y93" s="42" t="str">
        <f>IF(AND(OR($C93="Obiettivo",$C93="Attività cardine"),$E93=Y8,2&lt;=$F93),1,"")</f>
        <v/>
      </c>
      <c r="Z93" s="42" t="str">
        <f>IF(AND(OR($C93="Obiettivo",$C93="Attività cardine"),$E93=Z8,3&lt;=$F93),1,"")</f>
        <v/>
      </c>
      <c r="AA93" s="42" t="str">
        <f>IF(AND(OR($C93="Obiettivo",$C93="Attività cardine"),$E93=AA8,4&lt;=$F93),1,"")</f>
        <v/>
      </c>
      <c r="AB93" s="42" t="str">
        <f>IF(AND(OR($C93="Obiettivo",$C93="Attività cardine"),$E93=AB8,1&lt;=$F93),1,"")</f>
        <v/>
      </c>
      <c r="AC93" s="42" t="str">
        <f>IF(AND(OR($C93="Obiettivo",$C93="Attività cardine"),$E93=AC8,2&lt;=$F93),1,"")</f>
        <v/>
      </c>
      <c r="AD93" s="42" t="str">
        <f>IF(AND(OR($C93="Obiettivo",$C93="Attività cardine"),$E93=AD8,3&lt;=$F93),1,"")</f>
        <v/>
      </c>
      <c r="AE93" s="42" t="str">
        <f>IF(AND(OR($C93="Obiettivo",$C93="Attività cardine"),$E93=AE8,4&lt;=$F93),1,"")</f>
        <v/>
      </c>
      <c r="AF93" s="42" t="str">
        <f>IF(AND(OR($C93="Obiettivo",$C93="Attività cardine"),$E93=AF8,1&lt;=$F93),1,"")</f>
        <v/>
      </c>
      <c r="AG93" s="42" t="str">
        <f>IF(AND(OR($C93="Obiettivo",$C93="Attività cardine"),$E93=AG8,2&lt;=$F93),1,"")</f>
        <v/>
      </c>
      <c r="AH93" s="42" t="str">
        <f>IF(AND(OR($C93="Obiettivo",$C93="Attività cardine"),$E93=AH8,3&lt;=$F93),1,"")</f>
        <v/>
      </c>
      <c r="AI93" s="42" t="str">
        <f>IF(AND(OR($C93="Obiettivo",$C93="Attività cardine"),$E93=AI8,4&lt;=$F93),1,"")</f>
        <v/>
      </c>
      <c r="AJ93" s="42" t="str">
        <f>IF(AND(OR($C93="Obiettivo",$C93="Attività cardine"),$E93=AJ8,1&lt;=$F93),1,"")</f>
        <v/>
      </c>
      <c r="AK93" s="42" t="str">
        <f>IF(AND(OR($C93="Obiettivo",$C93="Attività cardine"),$E93=AK8,2&lt;=$F93),1,"")</f>
        <v/>
      </c>
      <c r="AL93" s="42" t="str">
        <f>IF(AND(OR($C93="Obiettivo",$C93="Attività cardine"),$E93=AL8,3&lt;=$F93),1,"")</f>
        <v/>
      </c>
      <c r="AM93" s="42" t="str">
        <f>IF(AND(OR($C93="Obiettivo",$C93="Attività cardine"),$E93=AM8,4&lt;=$F93),1,"")</f>
        <v/>
      </c>
      <c r="AN93" s="42" t="str">
        <f>IF(AND(OR($C93="Obiettivo",$C93="Attività cardine"),$E93=AN8,1&lt;=$F93),1,"")</f>
        <v/>
      </c>
      <c r="AO93" s="42" t="str">
        <f>IF(AND(OR($C93="Obiettivo",$C93="Attività cardine"),$E93=AO8,2&lt;=$F93),1,"")</f>
        <v/>
      </c>
      <c r="AP93" s="42" t="str">
        <f>IF(AND(OR($C93="Obiettivo",$C93="Attività cardine"),$E93=AP8,3&lt;=$F93),1,"")</f>
        <v/>
      </c>
      <c r="AQ93" s="42" t="str">
        <f>IF(AND(OR($C93="Obiettivo",$C93="Attività cardine"),$E93=AQ8,4&lt;=$F93),1,"")</f>
        <v/>
      </c>
      <c r="AR93" s="42" t="str">
        <f>IF(AND(OR($C93="Obiettivo",$C93="Attività cardine"),$E93=AR8,1&lt;=$F93),1,"")</f>
        <v/>
      </c>
      <c r="AS93" s="42" t="str">
        <f>IF(AND(OR($C93="Obiettivo",$C93="Attività cardine"),$E93=AS8,2&lt;=$F93),1,"")</f>
        <v/>
      </c>
      <c r="AT93" s="42" t="str">
        <f>IF(AND(OR($C93="Obiettivo",$C93="Attività cardine"),$E93=AT8,3&lt;=$F93),1,"")</f>
        <v/>
      </c>
      <c r="AU93" s="42" t="str">
        <f>IF(AND(OR($C93="Obiettivo",$C93="Attività cardine"),$E93=AU8,4&lt;=$F93),1,"")</f>
        <v/>
      </c>
    </row>
    <row r="94" spans="1:119" ht="30" customHeight="1" x14ac:dyDescent="0.25">
      <c r="H94" s="42" t="str">
        <f>IF(AND(OR($C94="Obiettivo",$C94="Attività cardine"),$E94=H8,1&lt;=$F94),1,"")</f>
        <v/>
      </c>
      <c r="I94" s="42" t="str">
        <f>IF(AND(OR($C94="Obiettivo",$C94="Attività cardine"),$E94=I8,2&lt;=$F94),1,"")</f>
        <v/>
      </c>
      <c r="J94" s="42" t="str">
        <f>IF(AND(OR($C94="Obiettivo",$C94="Attività cardine"),$E94=J8,3&lt;=$F94),1,"")</f>
        <v/>
      </c>
      <c r="K94" s="42" t="str">
        <f>IF(AND(OR($C94="Obiettivo",$C94="Attività cardine"),$E94=K8,4&lt;=$F94),1,"")</f>
        <v/>
      </c>
      <c r="L94" s="42" t="str">
        <f>IF(AND(OR($C94="Obiettivo",$C94="Attività cardine"),$E94=L8,1&lt;=$F94),1,"")</f>
        <v/>
      </c>
      <c r="M94" s="42" t="str">
        <f>IF(AND(OR($C94="Obiettivo",$C94="Attività cardine"),$E94=M8,2&lt;=$F94),1,"")</f>
        <v/>
      </c>
      <c r="N94" s="42" t="str">
        <f>IF(AND(OR($C94="Obiettivo",$C94="Attività cardine"),$E94=N8,3&lt;=$F94),1,"")</f>
        <v/>
      </c>
      <c r="O94" s="42" t="str">
        <f>IF(AND(OR($C94="Obiettivo",$C94="Attività cardine"),$E94=O8,4&lt;=$F94),1,"")</f>
        <v/>
      </c>
      <c r="P94" s="42" t="str">
        <f>IF(AND(OR($C94="Obiettivo",$C94="Attività cardine"),$E94=P8,1&lt;=$F94),1,"")</f>
        <v/>
      </c>
      <c r="Q94" s="42" t="str">
        <f>IF(AND(OR($C94="Obiettivo",$C94="Attività cardine"),$E94=Q8,2&lt;=$F94),1,"")</f>
        <v/>
      </c>
      <c r="R94" s="42" t="str">
        <f>IF(AND(OR($C94="Obiettivo",$C94="Attività cardine"),$E94=R8,3&lt;=$F94),1,"")</f>
        <v/>
      </c>
      <c r="S94" s="42" t="str">
        <f>IF(AND(OR($C94="Obiettivo",$C94="Attività cardine"),$E94=S8,4&lt;=$F94),1,"")</f>
        <v/>
      </c>
      <c r="T94" s="42" t="str">
        <f>IF(AND(OR($C94="Obiettivo",$C94="Attività cardine"),$E94=T8,1&lt;=$F94),1,"")</f>
        <v/>
      </c>
      <c r="U94" s="42" t="str">
        <f>IF(AND(OR($C94="Obiettivo",$C94="Attività cardine"),$E94=U8,2&lt;=$F94),1,"")</f>
        <v/>
      </c>
      <c r="V94" s="42" t="str">
        <f>IF(AND(OR($C94="Obiettivo",$C94="Attività cardine"),$E94=V8,3&lt;=$F94),1,"")</f>
        <v/>
      </c>
      <c r="W94" s="42" t="str">
        <f>IF(AND(OR($C94="Obiettivo",$C94="Attività cardine"),$E94=W8,4&lt;=$F94),1,"")</f>
        <v/>
      </c>
      <c r="X94" s="42" t="str">
        <f>IF(AND(OR($C94="Obiettivo",$C94="Attività cardine"),$E94=X8,1&lt;=$F94),1,"")</f>
        <v/>
      </c>
      <c r="Y94" s="42" t="str">
        <f>IF(AND(OR($C94="Obiettivo",$C94="Attività cardine"),$E94=Y8,2&lt;=$F94),1,"")</f>
        <v/>
      </c>
      <c r="Z94" s="42" t="str">
        <f>IF(AND(OR($C94="Obiettivo",$C94="Attività cardine"),$E94=Z8,3&lt;=$F94),1,"")</f>
        <v/>
      </c>
      <c r="AA94" s="42" t="str">
        <f>IF(AND(OR($C94="Obiettivo",$C94="Attività cardine"),$E94=AA8,4&lt;=$F94),1,"")</f>
        <v/>
      </c>
      <c r="AB94" s="42" t="str">
        <f>IF(AND(OR($C94="Obiettivo",$C94="Attività cardine"),$E94=AB8,1&lt;=$F94),1,"")</f>
        <v/>
      </c>
      <c r="AC94" s="42" t="str">
        <f>IF(AND(OR($C94="Obiettivo",$C94="Attività cardine"),$E94=AC8,2&lt;=$F94),1,"")</f>
        <v/>
      </c>
      <c r="AD94" s="42" t="str">
        <f>IF(AND(OR($C94="Obiettivo",$C94="Attività cardine"),$E94=AD8,3&lt;=$F94),1,"")</f>
        <v/>
      </c>
      <c r="AE94" s="42" t="str">
        <f>IF(AND(OR($C94="Obiettivo",$C94="Attività cardine"),$E94=AE8,4&lt;=$F94),1,"")</f>
        <v/>
      </c>
      <c r="AF94" s="42" t="str">
        <f>IF(AND(OR($C94="Obiettivo",$C94="Attività cardine"),$E94=AF8,1&lt;=$F94),1,"")</f>
        <v/>
      </c>
      <c r="AG94" s="42" t="str">
        <f>IF(AND(OR($C94="Obiettivo",$C94="Attività cardine"),$E94=AG8,2&lt;=$F94),1,"")</f>
        <v/>
      </c>
      <c r="AH94" s="42" t="str">
        <f>IF(AND(OR($C94="Obiettivo",$C94="Attività cardine"),$E94=AH8,3&lt;=$F94),1,"")</f>
        <v/>
      </c>
      <c r="AI94" s="42" t="str">
        <f>IF(AND(OR($C94="Obiettivo",$C94="Attività cardine"),$E94=AI8,4&lt;=$F94),1,"")</f>
        <v/>
      </c>
      <c r="AJ94" s="42" t="str">
        <f>IF(AND(OR($C94="Obiettivo",$C94="Attività cardine"),$E94=AJ8,1&lt;=$F94),1,"")</f>
        <v/>
      </c>
      <c r="AK94" s="42" t="str">
        <f>IF(AND(OR($C94="Obiettivo",$C94="Attività cardine"),$E94=AK8,2&lt;=$F94),1,"")</f>
        <v/>
      </c>
      <c r="AL94" s="42" t="str">
        <f>IF(AND(OR($C94="Obiettivo",$C94="Attività cardine"),$E94=AL8,3&lt;=$F94),1,"")</f>
        <v/>
      </c>
      <c r="AM94" s="42" t="str">
        <f>IF(AND(OR($C94="Obiettivo",$C94="Attività cardine"),$E94=AM8,4&lt;=$F94),1,"")</f>
        <v/>
      </c>
      <c r="AN94" s="42" t="str">
        <f>IF(AND(OR($C94="Obiettivo",$C94="Attività cardine"),$E94=AN8,1&lt;=$F94),1,"")</f>
        <v/>
      </c>
      <c r="AO94" s="42" t="str">
        <f>IF(AND(OR($C94="Obiettivo",$C94="Attività cardine"),$E94=AO8,2&lt;=$F94),1,"")</f>
        <v/>
      </c>
      <c r="AP94" s="42" t="str">
        <f>IF(AND(OR($C94="Obiettivo",$C94="Attività cardine"),$E94=AP8,3&lt;=$F94),1,"")</f>
        <v/>
      </c>
      <c r="AQ94" s="42" t="str">
        <f>IF(AND(OR($C94="Obiettivo",$C94="Attività cardine"),$E94=AQ8,4&lt;=$F94),1,"")</f>
        <v/>
      </c>
      <c r="AR94" s="42" t="str">
        <f>IF(AND(OR($C94="Obiettivo",$C94="Attività cardine"),$E94=AR8,1&lt;=$F94),1,"")</f>
        <v/>
      </c>
      <c r="AS94" s="42" t="str">
        <f>IF(AND(OR($C94="Obiettivo",$C94="Attività cardine"),$E94=AS8,2&lt;=$F94),1,"")</f>
        <v/>
      </c>
      <c r="AT94" s="42" t="str">
        <f>IF(AND(OR($C94="Obiettivo",$C94="Attività cardine"),$E94=AT8,3&lt;=$F94),1,"")</f>
        <v/>
      </c>
      <c r="AU94" s="42" t="str">
        <f>IF(AND(OR($C94="Obiettivo",$C94="Attività cardine"),$E94=AU8,4&lt;=$F94),1,"")</f>
        <v/>
      </c>
    </row>
    <row r="95" spans="1:119" ht="30" customHeight="1" x14ac:dyDescent="0.25">
      <c r="H95" s="42" t="str">
        <f>IF(AND(OR($C95="Obiettivo",$C95="Attività cardine"),$E95=H8,1&lt;=$F95),1,"")</f>
        <v/>
      </c>
      <c r="I95" s="42" t="str">
        <f>IF(AND(OR($C95="Obiettivo",$C95="Attività cardine"),$E95=I8,2&lt;=$F95),1,"")</f>
        <v/>
      </c>
      <c r="J95" s="42" t="str">
        <f>IF(AND(OR($C95="Obiettivo",$C95="Attività cardine"),$E95=J8,3&lt;=$F95),1,"")</f>
        <v/>
      </c>
      <c r="K95" s="42" t="str">
        <f>IF(AND(OR($C95="Obiettivo",$C95="Attività cardine"),$E95=K8,4&lt;=$F95),1,"")</f>
        <v/>
      </c>
      <c r="L95" s="42" t="str">
        <f>IF(AND(OR($C95="Obiettivo",$C95="Attività cardine"),$E95=L8,1&lt;=$F95),1,"")</f>
        <v/>
      </c>
      <c r="M95" s="42" t="str">
        <f>IF(AND(OR($C95="Obiettivo",$C95="Attività cardine"),$E95=M8,2&lt;=$F95),1,"")</f>
        <v/>
      </c>
      <c r="N95" s="42" t="str">
        <f>IF(AND(OR($C95="Obiettivo",$C95="Attività cardine"),$E95=N8,3&lt;=$F95),1,"")</f>
        <v/>
      </c>
      <c r="O95" s="42" t="str">
        <f>IF(AND(OR($C95="Obiettivo",$C95="Attività cardine"),$E95=O8,4&lt;=$F95),1,"")</f>
        <v/>
      </c>
      <c r="P95" s="42" t="str">
        <f>IF(AND(OR($C95="Obiettivo",$C95="Attività cardine"),$E95=P8,1&lt;=$F95),1,"")</f>
        <v/>
      </c>
      <c r="Q95" s="42" t="str">
        <f>IF(AND(OR($C95="Obiettivo",$C95="Attività cardine"),$E95=Q8,2&lt;=$F95),1,"")</f>
        <v/>
      </c>
      <c r="R95" s="42" t="str">
        <f>IF(AND(OR($C95="Obiettivo",$C95="Attività cardine"),$E95=R8,3&lt;=$F95),1,"")</f>
        <v/>
      </c>
      <c r="S95" s="42" t="str">
        <f>IF(AND(OR($C95="Obiettivo",$C95="Attività cardine"),$E95=S8,4&lt;=$F95),1,"")</f>
        <v/>
      </c>
      <c r="T95" s="42" t="str">
        <f>IF(AND(OR($C95="Obiettivo",$C95="Attività cardine"),$E95=T8,1&lt;=$F95),1,"")</f>
        <v/>
      </c>
      <c r="U95" s="42" t="str">
        <f>IF(AND(OR($C95="Obiettivo",$C95="Attività cardine"),$E95=U8,2&lt;=$F95),1,"")</f>
        <v/>
      </c>
      <c r="V95" s="42" t="str">
        <f>IF(AND(OR($C95="Obiettivo",$C95="Attività cardine"),$E95=V8,3&lt;=$F95),1,"")</f>
        <v/>
      </c>
      <c r="W95" s="42" t="str">
        <f>IF(AND(OR($C95="Obiettivo",$C95="Attività cardine"),$E95=W8,4&lt;=$F95),1,"")</f>
        <v/>
      </c>
      <c r="X95" s="42" t="str">
        <f>IF(AND(OR($C95="Obiettivo",$C95="Attività cardine"),$E95=X8,1&lt;=$F95),1,"")</f>
        <v/>
      </c>
      <c r="Y95" s="42" t="str">
        <f>IF(AND(OR($C95="Obiettivo",$C95="Attività cardine"),$E95=Y8,2&lt;=$F95),1,"")</f>
        <v/>
      </c>
      <c r="Z95" s="42" t="str">
        <f>IF(AND(OR($C95="Obiettivo",$C95="Attività cardine"),$E95=Z8,3&lt;=$F95),1,"")</f>
        <v/>
      </c>
      <c r="AA95" s="42" t="str">
        <f>IF(AND(OR($C95="Obiettivo",$C95="Attività cardine"),$E95=AA8,4&lt;=$F95),1,"")</f>
        <v/>
      </c>
      <c r="AB95" s="42" t="str">
        <f>IF(AND(OR($C95="Obiettivo",$C95="Attività cardine"),$E95=AB8,1&lt;=$F95),1,"")</f>
        <v/>
      </c>
      <c r="AC95" s="42" t="str">
        <f>IF(AND(OR($C95="Obiettivo",$C95="Attività cardine"),$E95=AC8,2&lt;=$F95),1,"")</f>
        <v/>
      </c>
      <c r="AD95" s="42" t="str">
        <f>IF(AND(OR($C95="Obiettivo",$C95="Attività cardine"),$E95=AD8,3&lt;=$F95),1,"")</f>
        <v/>
      </c>
      <c r="AE95" s="42" t="str">
        <f>IF(AND(OR($C95="Obiettivo",$C95="Attività cardine"),$E95=AE8,4&lt;=$F95),1,"")</f>
        <v/>
      </c>
      <c r="AF95" s="42" t="str">
        <f>IF(AND(OR($C95="Obiettivo",$C95="Attività cardine"),$E95=AF8,1&lt;=$F95),1,"")</f>
        <v/>
      </c>
      <c r="AG95" s="42" t="str">
        <f>IF(AND(OR($C95="Obiettivo",$C95="Attività cardine"),$E95=AG8,2&lt;=$F95),1,"")</f>
        <v/>
      </c>
      <c r="AH95" s="42" t="str">
        <f>IF(AND(OR($C95="Obiettivo",$C95="Attività cardine"),$E95=AH8,3&lt;=$F95),1,"")</f>
        <v/>
      </c>
      <c r="AI95" s="42" t="str">
        <f>IF(AND(OR($C95="Obiettivo",$C95="Attività cardine"),$E95=AI8,4&lt;=$F95),1,"")</f>
        <v/>
      </c>
      <c r="AJ95" s="42" t="str">
        <f>IF(AND(OR($C95="Obiettivo",$C95="Attività cardine"),$E95=AJ8,1&lt;=$F95),1,"")</f>
        <v/>
      </c>
      <c r="AK95" s="42" t="str">
        <f>IF(AND(OR($C95="Obiettivo",$C95="Attività cardine"),$E95=AK8,2&lt;=$F95),1,"")</f>
        <v/>
      </c>
      <c r="AL95" s="42" t="str">
        <f>IF(AND(OR($C95="Obiettivo",$C95="Attività cardine"),$E95=AL8,3&lt;=$F95),1,"")</f>
        <v/>
      </c>
      <c r="AM95" s="42" t="str">
        <f>IF(AND(OR($C95="Obiettivo",$C95="Attività cardine"),$E95=AM8,4&lt;=$F95),1,"")</f>
        <v/>
      </c>
      <c r="AN95" s="42" t="str">
        <f>IF(AND(OR($C95="Obiettivo",$C95="Attività cardine"),$E95=AN8,1&lt;=$F95),1,"")</f>
        <v/>
      </c>
      <c r="AO95" s="42" t="str">
        <f>IF(AND(OR($C95="Obiettivo",$C95="Attività cardine"),$E95=AO8,2&lt;=$F95),1,"")</f>
        <v/>
      </c>
      <c r="AP95" s="42" t="str">
        <f>IF(AND(OR($C95="Obiettivo",$C95="Attività cardine"),$E95=AP8,3&lt;=$F95),1,"")</f>
        <v/>
      </c>
      <c r="AQ95" s="42" t="str">
        <f>IF(AND(OR($C95="Obiettivo",$C95="Attività cardine"),$E95=AQ8,4&lt;=$F95),1,"")</f>
        <v/>
      </c>
      <c r="AR95" s="42" t="str">
        <f>IF(AND(OR($C95="Obiettivo",$C95="Attività cardine"),$E95=AR8,1&lt;=$F95),1,"")</f>
        <v/>
      </c>
      <c r="AS95" s="42" t="str">
        <f>IF(AND(OR($C95="Obiettivo",$C95="Attività cardine"),$E95=AS8,2&lt;=$F95),1,"")</f>
        <v/>
      </c>
      <c r="AT95" s="42" t="str">
        <f>IF(AND(OR($C95="Obiettivo",$C95="Attività cardine"),$E95=AT8,3&lt;=$F95),1,"")</f>
        <v/>
      </c>
      <c r="AU95" s="42" t="str">
        <f>IF(AND(OR($C95="Obiettivo",$C95="Attività cardine"),$E95=AU8,4&lt;=$F95),1,"")</f>
        <v/>
      </c>
    </row>
    <row r="96" spans="1:119" ht="30" customHeight="1" x14ac:dyDescent="0.25">
      <c r="H96" s="42" t="str">
        <f>IF(AND(OR($C96="Obiettivo",$C96="Attività cardine"),$E96=H8,1&lt;=$F96),1,"")</f>
        <v/>
      </c>
      <c r="I96" s="42" t="str">
        <f>IF(AND(OR($C96="Obiettivo",$C96="Attività cardine"),$E96=I8,2&lt;=$F96),1,"")</f>
        <v/>
      </c>
      <c r="J96" s="42" t="str">
        <f>IF(AND(OR($C96="Obiettivo",$C96="Attività cardine"),$E96=J8,3&lt;=$F96),1,"")</f>
        <v/>
      </c>
      <c r="K96" s="42" t="str">
        <f>IF(AND(OR($C96="Obiettivo",$C96="Attività cardine"),$E96=K8,4&lt;=$F96),1,"")</f>
        <v/>
      </c>
      <c r="L96" s="42" t="str">
        <f>IF(AND(OR($C96="Obiettivo",$C96="Attività cardine"),$E96=L8,1&lt;=$F96),1,"")</f>
        <v/>
      </c>
      <c r="M96" s="42" t="str">
        <f>IF(AND(OR($C96="Obiettivo",$C96="Attività cardine"),$E96=M8,2&lt;=$F96),1,"")</f>
        <v/>
      </c>
      <c r="N96" s="42" t="str">
        <f>IF(AND(OR($C96="Obiettivo",$C96="Attività cardine"),$E96=N8,3&lt;=$F96),1,"")</f>
        <v/>
      </c>
      <c r="O96" s="42" t="str">
        <f>IF(AND(OR($C96="Obiettivo",$C96="Attività cardine"),$E96=O8,4&lt;=$F96),1,"")</f>
        <v/>
      </c>
      <c r="P96" s="42" t="str">
        <f>IF(AND(OR($C96="Obiettivo",$C96="Attività cardine"),$E96=P8,1&lt;=$F96),1,"")</f>
        <v/>
      </c>
      <c r="Q96" s="42" t="str">
        <f>IF(AND(OR($C96="Obiettivo",$C96="Attività cardine"),$E96=Q8,2&lt;=$F96),1,"")</f>
        <v/>
      </c>
      <c r="R96" s="42" t="str">
        <f>IF(AND(OR($C96="Obiettivo",$C96="Attività cardine"),$E96=R8,3&lt;=$F96),1,"")</f>
        <v/>
      </c>
      <c r="S96" s="42" t="str">
        <f>IF(AND(OR($C96="Obiettivo",$C96="Attività cardine"),$E96=S8,4&lt;=$F96),1,"")</f>
        <v/>
      </c>
      <c r="T96" s="42" t="str">
        <f>IF(AND(OR($C96="Obiettivo",$C96="Attività cardine"),$E96=T8,1&lt;=$F96),1,"")</f>
        <v/>
      </c>
      <c r="U96" s="42" t="str">
        <f>IF(AND(OR($C96="Obiettivo",$C96="Attività cardine"),$E96=U8,2&lt;=$F96),1,"")</f>
        <v/>
      </c>
      <c r="V96" s="42" t="str">
        <f>IF(AND(OR($C96="Obiettivo",$C96="Attività cardine"),$E96=V8,3&lt;=$F96),1,"")</f>
        <v/>
      </c>
      <c r="W96" s="42" t="str">
        <f>IF(AND(OR($C96="Obiettivo",$C96="Attività cardine"),$E96=W8,4&lt;=$F96),1,"")</f>
        <v/>
      </c>
      <c r="X96" s="42" t="str">
        <f>IF(AND(OR($C96="Obiettivo",$C96="Attività cardine"),$E96=X8,1&lt;=$F96),1,"")</f>
        <v/>
      </c>
      <c r="Y96" s="42" t="str">
        <f>IF(AND(OR($C96="Obiettivo",$C96="Attività cardine"),$E96=Y8,2&lt;=$F96),1,"")</f>
        <v/>
      </c>
      <c r="Z96" s="42" t="str">
        <f>IF(AND(OR($C96="Obiettivo",$C96="Attività cardine"),$E96=Z8,3&lt;=$F96),1,"")</f>
        <v/>
      </c>
      <c r="AA96" s="42" t="str">
        <f>IF(AND(OR($C96="Obiettivo",$C96="Attività cardine"),$E96=AA8,4&lt;=$F96),1,"")</f>
        <v/>
      </c>
      <c r="AB96" s="42" t="str">
        <f>IF(AND(OR($C96="Obiettivo",$C96="Attività cardine"),$E96=AB8,1&lt;=$F96),1,"")</f>
        <v/>
      </c>
      <c r="AC96" s="42" t="str">
        <f>IF(AND(OR($C96="Obiettivo",$C96="Attività cardine"),$E96=AC8,2&lt;=$F96),1,"")</f>
        <v/>
      </c>
      <c r="AD96" s="42" t="str">
        <f>IF(AND(OR($C96="Obiettivo",$C96="Attività cardine"),$E96=AD8,3&lt;=$F96),1,"")</f>
        <v/>
      </c>
      <c r="AE96" s="42" t="str">
        <f>IF(AND(OR($C96="Obiettivo",$C96="Attività cardine"),$E96=AE8,4&lt;=$F96),1,"")</f>
        <v/>
      </c>
      <c r="AF96" s="42" t="str">
        <f>IF(AND(OR($C96="Obiettivo",$C96="Attività cardine"),$E96=AF8,1&lt;=$F96),1,"")</f>
        <v/>
      </c>
      <c r="AG96" s="42" t="str">
        <f>IF(AND(OR($C96="Obiettivo",$C96="Attività cardine"),$E96=AG8,2&lt;=$F96),1,"")</f>
        <v/>
      </c>
      <c r="AH96" s="42" t="str">
        <f>IF(AND(OR($C96="Obiettivo",$C96="Attività cardine"),$E96=AH8,3&lt;=$F96),1,"")</f>
        <v/>
      </c>
      <c r="AI96" s="42" t="str">
        <f>IF(AND(OR($C96="Obiettivo",$C96="Attività cardine"),$E96=AI8,4&lt;=$F96),1,"")</f>
        <v/>
      </c>
      <c r="AJ96" s="42" t="str">
        <f>IF(AND(OR($C96="Obiettivo",$C96="Attività cardine"),$E96=AJ8,1&lt;=$F96),1,"")</f>
        <v/>
      </c>
      <c r="AK96" s="42" t="str">
        <f>IF(AND(OR($C96="Obiettivo",$C96="Attività cardine"),$E96=AK8,2&lt;=$F96),1,"")</f>
        <v/>
      </c>
      <c r="AL96" s="42" t="str">
        <f>IF(AND(OR($C96="Obiettivo",$C96="Attività cardine"),$E96=AL8,3&lt;=$F96),1,"")</f>
        <v/>
      </c>
      <c r="AM96" s="42" t="str">
        <f>IF(AND(OR($C96="Obiettivo",$C96="Attività cardine"),$E96=AM8,4&lt;=$F96),1,"")</f>
        <v/>
      </c>
      <c r="AN96" s="42" t="str">
        <f>IF(AND(OR($C96="Obiettivo",$C96="Attività cardine"),$E96=AN8,1&lt;=$F96),1,"")</f>
        <v/>
      </c>
      <c r="AO96" s="42" t="str">
        <f>IF(AND(OR($C96="Obiettivo",$C96="Attività cardine"),$E96=AO8,2&lt;=$F96),1,"")</f>
        <v/>
      </c>
      <c r="AP96" s="42" t="str">
        <f>IF(AND(OR($C96="Obiettivo",$C96="Attività cardine"),$E96=AP8,3&lt;=$F96),1,"")</f>
        <v/>
      </c>
      <c r="AQ96" s="42" t="str">
        <f>IF(AND(OR($C96="Obiettivo",$C96="Attività cardine"),$E96=AQ8,4&lt;=$F96),1,"")</f>
        <v/>
      </c>
      <c r="AR96" s="42" t="str">
        <f>IF(AND(OR($C96="Obiettivo",$C96="Attività cardine"),$E96=AR8,1&lt;=$F96),1,"")</f>
        <v/>
      </c>
      <c r="AS96" s="42" t="str">
        <f>IF(AND(OR($C96="Obiettivo",$C96="Attività cardine"),$E96=AS8,2&lt;=$F96),1,"")</f>
        <v/>
      </c>
      <c r="AT96" s="42" t="str">
        <f>IF(AND(OR($C96="Obiettivo",$C96="Attività cardine"),$E96=AT8,3&lt;=$F96),1,"")</f>
        <v/>
      </c>
      <c r="AU96" s="42" t="str">
        <f>IF(AND(OR($C96="Obiettivo",$C96="Attività cardine"),$E96=AU8,4&lt;=$F96),1,"")</f>
        <v/>
      </c>
    </row>
    <row r="97" spans="2:47" ht="30" customHeight="1" x14ac:dyDescent="0.25">
      <c r="H97" s="42" t="str">
        <f>IF(AND(OR($C97="Obiettivo",$C97="Attività cardine"),$E97=H8,1&lt;=$F97),1,"")</f>
        <v/>
      </c>
      <c r="I97" s="42" t="str">
        <f>IF(AND(OR($C97="Obiettivo",$C97="Attività cardine"),$E97=I8,2&lt;=$F97),1,"")</f>
        <v/>
      </c>
      <c r="J97" s="42" t="str">
        <f>IF(AND(OR($C97="Obiettivo",$C97="Attività cardine"),$E97=J8,3&lt;=$F97),1,"")</f>
        <v/>
      </c>
      <c r="K97" s="42" t="str">
        <f>IF(AND(OR($C97="Obiettivo",$C97="Attività cardine"),$E97=K8,4&lt;=$F97),1,"")</f>
        <v/>
      </c>
      <c r="L97" s="42" t="str">
        <f>IF(AND(OR($C97="Obiettivo",$C97="Attività cardine"),$E97=L8,1&lt;=$F97),1,"")</f>
        <v/>
      </c>
      <c r="M97" s="42" t="str">
        <f>IF(AND(OR($C97="Obiettivo",$C97="Attività cardine"),$E97=M8,2&lt;=$F97),1,"")</f>
        <v/>
      </c>
      <c r="N97" s="42" t="str">
        <f>IF(AND(OR($C97="Obiettivo",$C97="Attività cardine"),$E97=N8,3&lt;=$F97),1,"")</f>
        <v/>
      </c>
      <c r="O97" s="42" t="str">
        <f>IF(AND(OR($C97="Obiettivo",$C97="Attività cardine"),$E97=O8,4&lt;=$F97),1,"")</f>
        <v/>
      </c>
      <c r="P97" s="42" t="str">
        <f>IF(AND(OR($C97="Obiettivo",$C97="Attività cardine"),$E97=P8,1&lt;=$F97),1,"")</f>
        <v/>
      </c>
      <c r="Q97" s="42" t="str">
        <f>IF(AND(OR($C97="Obiettivo",$C97="Attività cardine"),$E97=Q8,2&lt;=$F97),1,"")</f>
        <v/>
      </c>
      <c r="R97" s="42" t="str">
        <f>IF(AND(OR($C97="Obiettivo",$C97="Attività cardine"),$E97=R8,3&lt;=$F97),1,"")</f>
        <v/>
      </c>
      <c r="S97" s="42" t="str">
        <f>IF(AND(OR($C97="Obiettivo",$C97="Attività cardine"),$E97=S8,4&lt;=$F97),1,"")</f>
        <v/>
      </c>
      <c r="T97" s="42" t="str">
        <f>IF(AND(OR($C97="Obiettivo",$C97="Attività cardine"),$E97=T8,1&lt;=$F97),1,"")</f>
        <v/>
      </c>
      <c r="U97" s="42" t="str">
        <f>IF(AND(OR($C97="Obiettivo",$C97="Attività cardine"),$E97=U8,2&lt;=$F97),1,"")</f>
        <v/>
      </c>
      <c r="V97" s="42" t="str">
        <f>IF(AND(OR($C97="Obiettivo",$C97="Attività cardine"),$E97=V8,3&lt;=$F97),1,"")</f>
        <v/>
      </c>
      <c r="W97" s="42" t="str">
        <f>IF(AND(OR($C97="Obiettivo",$C97="Attività cardine"),$E97=W8,4&lt;=$F97),1,"")</f>
        <v/>
      </c>
      <c r="X97" s="42" t="str">
        <f>IF(AND(OR($C97="Obiettivo",$C97="Attività cardine"),$E97=X8,1&lt;=$F97),1,"")</f>
        <v/>
      </c>
      <c r="Y97" s="42" t="str">
        <f>IF(AND(OR($C97="Obiettivo",$C97="Attività cardine"),$E97=Y8,2&lt;=$F97),1,"")</f>
        <v/>
      </c>
      <c r="Z97" s="42" t="str">
        <f>IF(AND(OR($C97="Obiettivo",$C97="Attività cardine"),$E97=Z8,3&lt;=$F97),1,"")</f>
        <v/>
      </c>
      <c r="AA97" s="42" t="str">
        <f>IF(AND(OR($C97="Obiettivo",$C97="Attività cardine"),$E97=AA8,4&lt;=$F97),1,"")</f>
        <v/>
      </c>
      <c r="AB97" s="42" t="str">
        <f>IF(AND(OR($C97="Obiettivo",$C97="Attività cardine"),$E97=AB8,1&lt;=$F97),1,"")</f>
        <v/>
      </c>
      <c r="AC97" s="42" t="str">
        <f>IF(AND(OR($C97="Obiettivo",$C97="Attività cardine"),$E97=AC8,2&lt;=$F97),1,"")</f>
        <v/>
      </c>
      <c r="AD97" s="42" t="str">
        <f>IF(AND(OR($C97="Obiettivo",$C97="Attività cardine"),$E97=AD8,3&lt;=$F97),1,"")</f>
        <v/>
      </c>
      <c r="AE97" s="42" t="str">
        <f>IF(AND(OR($C97="Obiettivo",$C97="Attività cardine"),$E97=AE8,4&lt;=$F97),1,"")</f>
        <v/>
      </c>
      <c r="AF97" s="42" t="str">
        <f>IF(AND(OR($C97="Obiettivo",$C97="Attività cardine"),$E97=AF8,1&lt;=$F97),1,"")</f>
        <v/>
      </c>
      <c r="AG97" s="42" t="str">
        <f>IF(AND(OR($C97="Obiettivo",$C97="Attività cardine"),$E97=AG8,2&lt;=$F97),1,"")</f>
        <v/>
      </c>
      <c r="AH97" s="42" t="str">
        <f>IF(AND(OR($C97="Obiettivo",$C97="Attività cardine"),$E97=AH8,3&lt;=$F97),1,"")</f>
        <v/>
      </c>
      <c r="AI97" s="42" t="str">
        <f>IF(AND(OR($C97="Obiettivo",$C97="Attività cardine"),$E97=AI8,4&lt;=$F97),1,"")</f>
        <v/>
      </c>
      <c r="AJ97" s="42" t="str">
        <f>IF(AND(OR($C97="Obiettivo",$C97="Attività cardine"),$E97=AJ8,1&lt;=$F97),1,"")</f>
        <v/>
      </c>
      <c r="AK97" s="42" t="str">
        <f>IF(AND(OR($C97="Obiettivo",$C97="Attività cardine"),$E97=AK8,2&lt;=$F97),1,"")</f>
        <v/>
      </c>
      <c r="AL97" s="42" t="str">
        <f>IF(AND(OR($C97="Obiettivo",$C97="Attività cardine"),$E97=AL8,3&lt;=$F97),1,"")</f>
        <v/>
      </c>
      <c r="AM97" s="42" t="str">
        <f>IF(AND(OR($C97="Obiettivo",$C97="Attività cardine"),$E97=AM8,4&lt;=$F97),1,"")</f>
        <v/>
      </c>
      <c r="AN97" s="42" t="str">
        <f>IF(AND(OR($C97="Obiettivo",$C97="Attività cardine"),$E97=AN8,1&lt;=$F97),1,"")</f>
        <v/>
      </c>
      <c r="AO97" s="42" t="str">
        <f>IF(AND(OR($C97="Obiettivo",$C97="Attività cardine"),$E97=AO8,2&lt;=$F97),1,"")</f>
        <v/>
      </c>
      <c r="AP97" s="42" t="str">
        <f>IF(AND(OR($C97="Obiettivo",$C97="Attività cardine"),$E97=AP8,3&lt;=$F97),1,"")</f>
        <v/>
      </c>
      <c r="AQ97" s="42" t="str">
        <f>IF(AND(OR($C97="Obiettivo",$C97="Attività cardine"),$E97=AQ8,4&lt;=$F97),1,"")</f>
        <v/>
      </c>
      <c r="AR97" s="42" t="str">
        <f>IF(AND(OR($C97="Obiettivo",$C97="Attività cardine"),$E97=AR8,1&lt;=$F97),1,"")</f>
        <v/>
      </c>
      <c r="AS97" s="42" t="str">
        <f>IF(AND(OR($C97="Obiettivo",$C97="Attività cardine"),$E97=AS8,2&lt;=$F97),1,"")</f>
        <v/>
      </c>
      <c r="AT97" s="42" t="str">
        <f>IF(AND(OR($C97="Obiettivo",$C97="Attività cardine"),$E97=AT8,3&lt;=$F97),1,"")</f>
        <v/>
      </c>
      <c r="AU97" s="42" t="str">
        <f>IF(AND(OR($C97="Obiettivo",$C97="Attività cardine"),$E97=AU8,4&lt;=$F97),1,"")</f>
        <v/>
      </c>
    </row>
    <row r="98" spans="2:47" ht="30" customHeight="1" x14ac:dyDescent="0.25">
      <c r="H98" s="42" t="str">
        <f>IF(AND(OR($C98="Obiettivo",$C98="Attività cardine"),$E98=H8,1&lt;=$F98),1,"")</f>
        <v/>
      </c>
      <c r="I98" s="42" t="str">
        <f>IF(AND(OR($C98="Obiettivo",$C98="Attività cardine"),$E98=I8,2&lt;=$F98),1,"")</f>
        <v/>
      </c>
      <c r="J98" s="42" t="str">
        <f>IF(AND(OR($C98="Obiettivo",$C98="Attività cardine"),$E98=J8,3&lt;=$F98),1,"")</f>
        <v/>
      </c>
      <c r="K98" s="42" t="str">
        <f>IF(AND(OR($C98="Obiettivo",$C98="Attività cardine"),$E98=K8,4&lt;=$F98),1,"")</f>
        <v/>
      </c>
      <c r="L98" s="42" t="str">
        <f>IF(AND(OR($C98="Obiettivo",$C98="Attività cardine"),$E98=L8,1&lt;=$F98),1,"")</f>
        <v/>
      </c>
      <c r="M98" s="42" t="str">
        <f>IF(AND(OR($C98="Obiettivo",$C98="Attività cardine"),$E98=M8,2&lt;=$F98),1,"")</f>
        <v/>
      </c>
      <c r="N98" s="42" t="str">
        <f>IF(AND(OR($C98="Obiettivo",$C98="Attività cardine"),$E98=N8,3&lt;=$F98),1,"")</f>
        <v/>
      </c>
      <c r="O98" s="42" t="str">
        <f>IF(AND(OR($C98="Obiettivo",$C98="Attività cardine"),$E98=O8,4&lt;=$F98),1,"")</f>
        <v/>
      </c>
      <c r="P98" s="42" t="str">
        <f>IF(AND(OR($C98="Obiettivo",$C98="Attività cardine"),$E98=P8,1&lt;=$F98),1,"")</f>
        <v/>
      </c>
      <c r="Q98" s="42" t="str">
        <f>IF(AND(OR($C98="Obiettivo",$C98="Attività cardine"),$E98=Q8,2&lt;=$F98),1,"")</f>
        <v/>
      </c>
      <c r="R98" s="42" t="str">
        <f>IF(AND(OR($C98="Obiettivo",$C98="Attività cardine"),$E98=R8,3&lt;=$F98),1,"")</f>
        <v/>
      </c>
      <c r="S98" s="42" t="str">
        <f>IF(AND(OR($C98="Obiettivo",$C98="Attività cardine"),$E98=S8,4&lt;=$F98),1,"")</f>
        <v/>
      </c>
      <c r="T98" s="42" t="str">
        <f>IF(AND(OR($C98="Obiettivo",$C98="Attività cardine"),$E98=T8,1&lt;=$F98),1,"")</f>
        <v/>
      </c>
      <c r="U98" s="42" t="str">
        <f>IF(AND(OR($C98="Obiettivo",$C98="Attività cardine"),$E98=U8,2&lt;=$F98),1,"")</f>
        <v/>
      </c>
      <c r="V98" s="42" t="str">
        <f>IF(AND(OR($C98="Obiettivo",$C98="Attività cardine"),$E98=V8,3&lt;=$F98),1,"")</f>
        <v/>
      </c>
      <c r="W98" s="42" t="str">
        <f>IF(AND(OR($C98="Obiettivo",$C98="Attività cardine"),$E98=W8,4&lt;=$F98),1,"")</f>
        <v/>
      </c>
      <c r="X98" s="42" t="str">
        <f>IF(AND(OR($C98="Obiettivo",$C98="Attività cardine"),$E98=X8,1&lt;=$F98),1,"")</f>
        <v/>
      </c>
      <c r="Y98" s="42" t="str">
        <f>IF(AND(OR($C98="Obiettivo",$C98="Attività cardine"),$E98=Y8,2&lt;=$F98),1,"")</f>
        <v/>
      </c>
      <c r="Z98" s="42" t="str">
        <f>IF(AND(OR($C98="Obiettivo",$C98="Attività cardine"),$E98=Z8,3&lt;=$F98),1,"")</f>
        <v/>
      </c>
      <c r="AA98" s="42" t="str">
        <f>IF(AND(OR($C98="Obiettivo",$C98="Attività cardine"),$E98=AA8,4&lt;=$F98),1,"")</f>
        <v/>
      </c>
      <c r="AB98" s="42" t="str">
        <f>IF(AND(OR($C98="Obiettivo",$C98="Attività cardine"),$E98=AB8,1&lt;=$F98),1,"")</f>
        <v/>
      </c>
      <c r="AC98" s="42" t="str">
        <f>IF(AND(OR($C98="Obiettivo",$C98="Attività cardine"),$E98=AC8,2&lt;=$F98),1,"")</f>
        <v/>
      </c>
      <c r="AD98" s="42" t="str">
        <f>IF(AND(OR($C98="Obiettivo",$C98="Attività cardine"),$E98=AD8,3&lt;=$F98),1,"")</f>
        <v/>
      </c>
      <c r="AE98" s="42" t="str">
        <f>IF(AND(OR($C98="Obiettivo",$C98="Attività cardine"),$E98=AE8,4&lt;=$F98),1,"")</f>
        <v/>
      </c>
      <c r="AF98" s="42" t="str">
        <f>IF(AND(OR($C98="Obiettivo",$C98="Attività cardine"),$E98=AF8,1&lt;=$F98),1,"")</f>
        <v/>
      </c>
      <c r="AG98" s="42" t="str">
        <f>IF(AND(OR($C98="Obiettivo",$C98="Attività cardine"),$E98=AG8,2&lt;=$F98),1,"")</f>
        <v/>
      </c>
      <c r="AH98" s="42" t="str">
        <f>IF(AND(OR($C98="Obiettivo",$C98="Attività cardine"),$E98=AH8,3&lt;=$F98),1,"")</f>
        <v/>
      </c>
      <c r="AI98" s="42" t="str">
        <f>IF(AND(OR($C98="Obiettivo",$C98="Attività cardine"),$E98=AI8,4&lt;=$F98),1,"")</f>
        <v/>
      </c>
      <c r="AJ98" s="42" t="str">
        <f>IF(AND(OR($C98="Obiettivo",$C98="Attività cardine"),$E98=AJ8,1&lt;=$F98),1,"")</f>
        <v/>
      </c>
      <c r="AK98" s="42" t="str">
        <f>IF(AND(OR($C98="Obiettivo",$C98="Attività cardine"),$E98=AK8,2&lt;=$F98),1,"")</f>
        <v/>
      </c>
      <c r="AL98" s="42" t="str">
        <f>IF(AND(OR($C98="Obiettivo",$C98="Attività cardine"),$E98=AL8,3&lt;=$F98),1,"")</f>
        <v/>
      </c>
      <c r="AM98" s="42" t="str">
        <f>IF(AND(OR($C98="Obiettivo",$C98="Attività cardine"),$E98=AM8,4&lt;=$F98),1,"")</f>
        <v/>
      </c>
      <c r="AN98" s="42" t="str">
        <f>IF(AND(OR($C98="Obiettivo",$C98="Attività cardine"),$E98=AN8,1&lt;=$F98),1,"")</f>
        <v/>
      </c>
      <c r="AO98" s="42" t="str">
        <f>IF(AND(OR($C98="Obiettivo",$C98="Attività cardine"),$E98=AO8,2&lt;=$F98),1,"")</f>
        <v/>
      </c>
      <c r="AP98" s="42" t="str">
        <f>IF(AND(OR($C98="Obiettivo",$C98="Attività cardine"),$E98=AP8,3&lt;=$F98),1,"")</f>
        <v/>
      </c>
      <c r="AQ98" s="42" t="str">
        <f>IF(AND(OR($C98="Obiettivo",$C98="Attività cardine"),$E98=AQ8,4&lt;=$F98),1,"")</f>
        <v/>
      </c>
      <c r="AR98" s="42" t="str">
        <f>IF(AND(OR($C98="Obiettivo",$C98="Attività cardine"),$E98=AR8,1&lt;=$F98),1,"")</f>
        <v/>
      </c>
      <c r="AS98" s="42" t="str">
        <f>IF(AND(OR($C98="Obiettivo",$C98="Attività cardine"),$E98=AS8,2&lt;=$F98),1,"")</f>
        <v/>
      </c>
      <c r="AT98" s="42" t="str">
        <f>IF(AND(OR($C98="Obiettivo",$C98="Attività cardine"),$E98=AT8,3&lt;=$F98),1,"")</f>
        <v/>
      </c>
      <c r="AU98" s="42" t="str">
        <f>IF(AND(OR($C98="Obiettivo",$C98="Attività cardine"),$E98=AU8,4&lt;=$F98),1,"")</f>
        <v/>
      </c>
    </row>
    <row r="99" spans="2:47" ht="30" customHeight="1" x14ac:dyDescent="0.25">
      <c r="B99" s="43"/>
      <c r="H99" s="42" t="str">
        <f>IF(AND(OR($C99="Obiettivo",$C99="Attività cardine"),$E99=H8,1&lt;=$F99),1,"")</f>
        <v/>
      </c>
      <c r="I99" s="42" t="str">
        <f>IF(AND(OR($C99="Obiettivo",$C99="Attività cardine"),$E99=I8,2&lt;=$F99),1,"")</f>
        <v/>
      </c>
      <c r="J99" s="42" t="str">
        <f>IF(AND(OR($C99="Obiettivo",$C99="Attività cardine"),$E99=J8,3&lt;=$F99),1,"")</f>
        <v/>
      </c>
      <c r="K99" s="42" t="str">
        <f>IF(AND(OR($C99="Obiettivo",$C99="Attività cardine"),$E99=K8,4&lt;=$F99),1,"")</f>
        <v/>
      </c>
      <c r="L99" s="42" t="str">
        <f>IF(AND(OR($C99="Obiettivo",$C99="Attività cardine"),$E99=L8,1&lt;=$F99),1,"")</f>
        <v/>
      </c>
      <c r="M99" s="42" t="str">
        <f>IF(AND(OR($C99="Obiettivo",$C99="Attività cardine"),$E99=M8,2&lt;=$F99),1,"")</f>
        <v/>
      </c>
      <c r="N99" s="42" t="str">
        <f>IF(AND(OR($C99="Obiettivo",$C99="Attività cardine"),$E99=N8,3&lt;=$F99),1,"")</f>
        <v/>
      </c>
      <c r="O99" s="42" t="str">
        <f>IF(AND(OR($C99="Obiettivo",$C99="Attività cardine"),$E99=O8,4&lt;=$F99),1,"")</f>
        <v/>
      </c>
      <c r="P99" s="42" t="str">
        <f>IF(AND(OR($C99="Obiettivo",$C99="Attività cardine"),$E99=P8,1&lt;=$F99),1,"")</f>
        <v/>
      </c>
      <c r="Q99" s="42" t="str">
        <f>IF(AND(OR($C99="Obiettivo",$C99="Attività cardine"),$E99=Q8,2&lt;=$F99),1,"")</f>
        <v/>
      </c>
      <c r="R99" s="42" t="str">
        <f>IF(AND(OR($C99="Obiettivo",$C99="Attività cardine"),$E99=R8,3&lt;=$F99),1,"")</f>
        <v/>
      </c>
      <c r="S99" s="42" t="str">
        <f>IF(AND(OR($C99="Obiettivo",$C99="Attività cardine"),$E99=S8,4&lt;=$F99),1,"")</f>
        <v/>
      </c>
      <c r="T99" s="42" t="str">
        <f>IF(AND(OR($C99="Obiettivo",$C99="Attività cardine"),$E99=T8,1&lt;=$F99),1,"")</f>
        <v/>
      </c>
      <c r="U99" s="42" t="str">
        <f>IF(AND(OR($C99="Obiettivo",$C99="Attività cardine"),$E99=U8,2&lt;=$F99),1,"")</f>
        <v/>
      </c>
      <c r="V99" s="42" t="str">
        <f>IF(AND(OR($C99="Obiettivo",$C99="Attività cardine"),$E99=V8,3&lt;=$F99),1,"")</f>
        <v/>
      </c>
      <c r="W99" s="42" t="str">
        <f>IF(AND(OR($C99="Obiettivo",$C99="Attività cardine"),$E99=W8,4&lt;=$F99),1,"")</f>
        <v/>
      </c>
      <c r="X99" s="42" t="str">
        <f>IF(AND(OR($C99="Obiettivo",$C99="Attività cardine"),$E99=X8,1&lt;=$F99),1,"")</f>
        <v/>
      </c>
      <c r="Y99" s="42" t="str">
        <f>IF(AND(OR($C99="Obiettivo",$C99="Attività cardine"),$E99=Y8,2&lt;=$F99),1,"")</f>
        <v/>
      </c>
      <c r="Z99" s="42" t="str">
        <f>IF(AND(OR($C99="Obiettivo",$C99="Attività cardine"),$E99=Z8,3&lt;=$F99),1,"")</f>
        <v/>
      </c>
      <c r="AA99" s="42" t="str">
        <f>IF(AND(OR($C99="Obiettivo",$C99="Attività cardine"),$E99=AA8,4&lt;=$F99),1,"")</f>
        <v/>
      </c>
      <c r="AB99" s="42" t="str">
        <f>IF(AND(OR($C99="Obiettivo",$C99="Attività cardine"),$E99=AB8,1&lt;=$F99),1,"")</f>
        <v/>
      </c>
      <c r="AC99" s="42" t="str">
        <f>IF(AND(OR($C99="Obiettivo",$C99="Attività cardine"),$E99=AC8,2&lt;=$F99),1,"")</f>
        <v/>
      </c>
      <c r="AD99" s="42" t="str">
        <f>IF(AND(OR($C99="Obiettivo",$C99="Attività cardine"),$E99=AD8,3&lt;=$F99),1,"")</f>
        <v/>
      </c>
      <c r="AE99" s="42" t="str">
        <f>IF(AND(OR($C99="Obiettivo",$C99="Attività cardine"),$E99=AE8,4&lt;=$F99),1,"")</f>
        <v/>
      </c>
      <c r="AF99" s="42" t="str">
        <f>IF(AND(OR($C99="Obiettivo",$C99="Attività cardine"),$E99=AF8,1&lt;=$F99),1,"")</f>
        <v/>
      </c>
      <c r="AG99" s="42" t="str">
        <f>IF(AND(OR($C99="Obiettivo",$C99="Attività cardine"),$E99=AG8,2&lt;=$F99),1,"")</f>
        <v/>
      </c>
      <c r="AH99" s="42" t="str">
        <f>IF(AND(OR($C99="Obiettivo",$C99="Attività cardine"),$E99=AH8,3&lt;=$F99),1,"")</f>
        <v/>
      </c>
      <c r="AI99" s="42" t="str">
        <f>IF(AND(OR($C99="Obiettivo",$C99="Attività cardine"),$E99=AI8,4&lt;=$F99),1,"")</f>
        <v/>
      </c>
      <c r="AJ99" s="42" t="str">
        <f>IF(AND(OR($C99="Obiettivo",$C99="Attività cardine"),$E99=AJ8,1&lt;=$F99),1,"")</f>
        <v/>
      </c>
      <c r="AK99" s="42" t="str">
        <f>IF(AND(OR($C99="Obiettivo",$C99="Attività cardine"),$E99=AK8,2&lt;=$F99),1,"")</f>
        <v/>
      </c>
      <c r="AL99" s="42" t="str">
        <f>IF(AND(OR($C99="Obiettivo",$C99="Attività cardine"),$E99=AL8,3&lt;=$F99),1,"")</f>
        <v/>
      </c>
      <c r="AM99" s="42" t="str">
        <f>IF(AND(OR($C99="Obiettivo",$C99="Attività cardine"),$E99=AM8,4&lt;=$F99),1,"")</f>
        <v/>
      </c>
      <c r="AN99" s="42" t="str">
        <f>IF(AND(OR($C99="Obiettivo",$C99="Attività cardine"),$E99=AN8,1&lt;=$F99),1,"")</f>
        <v/>
      </c>
      <c r="AO99" s="42" t="str">
        <f>IF(AND(OR($C99="Obiettivo",$C99="Attività cardine"),$E99=AO8,2&lt;=$F99),1,"")</f>
        <v/>
      </c>
      <c r="AP99" s="42" t="str">
        <f>IF(AND(OR($C99="Obiettivo",$C99="Attività cardine"),$E99=AP8,3&lt;=$F99),1,"")</f>
        <v/>
      </c>
      <c r="AQ99" s="42" t="str">
        <f>IF(AND(OR($C99="Obiettivo",$C99="Attività cardine"),$E99=AQ8,4&lt;=$F99),1,"")</f>
        <v/>
      </c>
      <c r="AR99" s="42" t="str">
        <f>IF(AND(OR($C99="Obiettivo",$C99="Attività cardine"),$E99=AR8,1&lt;=$F99),1,"")</f>
        <v/>
      </c>
      <c r="AS99" s="42" t="str">
        <f>IF(AND(OR($C99="Obiettivo",$C99="Attività cardine"),$E99=AS8,2&lt;=$F99),1,"")</f>
        <v/>
      </c>
      <c r="AT99" s="42" t="str">
        <f>IF(AND(OR($C99="Obiettivo",$C99="Attività cardine"),$E99=AT8,3&lt;=$F99),1,"")</f>
        <v/>
      </c>
      <c r="AU99" s="42" t="str">
        <f>IF(AND(OR($C99="Obiettivo",$C99="Attività cardine"),$E99=AU8,4&lt;=$F99),1,"")</f>
        <v/>
      </c>
    </row>
  </sheetData>
  <mergeCells count="22">
    <mergeCell ref="A29:A32"/>
    <mergeCell ref="A33:A34"/>
    <mergeCell ref="AR7:AU7"/>
    <mergeCell ref="A12:A18"/>
    <mergeCell ref="A19:A22"/>
    <mergeCell ref="A23:A28"/>
    <mergeCell ref="AV7:AY7"/>
    <mergeCell ref="AZ7:BC7"/>
    <mergeCell ref="BD7:BG7"/>
    <mergeCell ref="B2:G2"/>
    <mergeCell ref="H6:S6"/>
    <mergeCell ref="T6:AI6"/>
    <mergeCell ref="AJ6:AU6"/>
    <mergeCell ref="H7:K7"/>
    <mergeCell ref="L7:O7"/>
    <mergeCell ref="P7:S7"/>
    <mergeCell ref="T7:W7"/>
    <mergeCell ref="X7:AA7"/>
    <mergeCell ref="AB7:AE7"/>
    <mergeCell ref="AF7:AI7"/>
    <mergeCell ref="AJ7:AM7"/>
    <mergeCell ref="AN7:AQ7"/>
  </mergeCells>
  <conditionalFormatting sqref="A35:G91">
    <cfRule type="cellIs" dxfId="76" priority="35" operator="equal">
      <formula>1</formula>
    </cfRule>
  </conditionalFormatting>
  <conditionalFormatting sqref="H12:J12 H13:AU22 H23:AS33 H10:AU11 L12:AU12 H34:AU99">
    <cfRule type="cellIs" dxfId="75" priority="298" operator="equal">
      <formula>1</formula>
    </cfRule>
  </conditionalFormatting>
  <conditionalFormatting sqref="H6:AL6 BL6:CP6 DD6:DO6">
    <cfRule type="expression" dxfId="74" priority="291">
      <formula>H$7&lt;=EOMONTH($H$7,0)</formula>
    </cfRule>
  </conditionalFormatting>
  <conditionalFormatting sqref="H6:DO6">
    <cfRule type="expression" dxfId="73" priority="289">
      <formula>AND(H$7&lt;=EOMONTH($H$7,1),H$7&gt;EOMONTH($H$7,0))</formula>
    </cfRule>
  </conditionalFormatting>
  <conditionalFormatting sqref="H10:DO11 H12:J13 L12:DO13 K13 P14:DO14 H14:AU16 H15:DO16 H17:S18 AA17:DO18 H19:DO22 H23:AF33 H34:BD34 H35:DO37 H40:DO91 A35:G91 BH23:DO33 BG34:DO34">
    <cfRule type="expression" dxfId="72" priority="301">
      <formula>AND($C10="Rischio basso",A$7&gt;=$E10,A$7&lt;=$E10+$F10-1)</formula>
    </cfRule>
  </conditionalFormatting>
  <conditionalFormatting sqref="H10:DO11 H12:J13 L12:DO13 K13 P14:DO14 H14:AU16 H15:DO16 H17:S18 AA17:DO18 H19:DO22 H23:AF33 BH23:DO33 H34:BD34 BG34:DO34 H35:DO37 A35:G91 H40:DO91">
    <cfRule type="expression" dxfId="71" priority="302">
      <formula>AND($C10="Rischio alto",A$7&gt;=$E10,A$7&lt;=$E10+$F10-1)</formula>
    </cfRule>
    <cfRule type="expression" dxfId="70" priority="303">
      <formula>AND($C10="In linea",A$7&gt;=$E10,A$7&lt;=$E10+$F10-1)</formula>
    </cfRule>
    <cfRule type="expression" dxfId="69" priority="304">
      <formula>AND($C10="Rischio medio",A$7&gt;=$E10,A$7&lt;=$E10+$F10-1)</formula>
    </cfRule>
    <cfRule type="expression" dxfId="68" priority="305">
      <formula>AND(LEN($C10)=0,A$7&gt;=$E10,A$7&lt;=$E10+$F10-1)</formula>
    </cfRule>
  </conditionalFormatting>
  <conditionalFormatting sqref="H38:DO39">
    <cfRule type="expression" dxfId="67" priority="416">
      <formula>AND(LEN($C38)=0,H$7&gt;=#REF!,H$7&lt;=#REF!+$F38-1)</formula>
    </cfRule>
    <cfRule type="expression" dxfId="66" priority="415">
      <formula>AND($C38="Rischio medio",H$7&gt;=#REF!,H$7&lt;=#REF!+$F38-1)</formula>
    </cfRule>
    <cfRule type="expression" dxfId="65" priority="414">
      <formula>AND($C38="In linea",H$7&gt;=#REF!,H$7&lt;=#REF!+$F38-1)</formula>
    </cfRule>
    <cfRule type="expression" dxfId="64" priority="413">
      <formula>AND($C38="Rischio alto",H$7&gt;=#REF!,H$7&lt;=#REF!+$F38-1)</formula>
    </cfRule>
    <cfRule type="expression" dxfId="63" priority="408">
      <formula>AND($C38="Rischio basso",H$7&gt;=#REF!,H$7&lt;=#REF!+$F38-1)</formula>
    </cfRule>
  </conditionalFormatting>
  <conditionalFormatting sqref="I6:DO6">
    <cfRule type="expression" dxfId="62" priority="290">
      <formula>AND(I$7&lt;=EOMONTH($H$7,2),I$7&gt;EOMONTH($H$7,0),I$7&gt;EOMONTH($H$7,1))</formula>
    </cfRule>
  </conditionalFormatting>
  <conditionalFormatting sqref="J12 J14:N14 AG23:BE32 AG33:BB33">
    <cfRule type="expression" dxfId="61" priority="279">
      <formula>AND($C12="Rischio alto",L$7&gt;=$E12,L$7&lt;=$E12+$F12-1)</formula>
    </cfRule>
    <cfRule type="expression" dxfId="60" priority="280">
      <formula>AND($C12="In linea",L$7&gt;=$E12,L$7&lt;=$E12+$F12-1)</formula>
    </cfRule>
    <cfRule type="expression" dxfId="59" priority="281">
      <formula>AND($C12="Rischio medio",L$7&gt;=$E12,L$7&lt;=$E12+$F12-1)</formula>
    </cfRule>
    <cfRule type="expression" dxfId="58" priority="282">
      <formula>AND(LEN($C12)=0,L$7&gt;=$E12,L$7&lt;=$E12+$F12-1)</formula>
    </cfRule>
  </conditionalFormatting>
  <conditionalFormatting sqref="K13">
    <cfRule type="expression" dxfId="57" priority="314">
      <formula>AND($C13="Rischio basso",M$7&gt;=$E13,M$7&lt;=$E13+$F13-1)</formula>
    </cfRule>
    <cfRule type="expression" dxfId="56" priority="318">
      <formula>AND(LEN($C13)=0,M$7&gt;=$E13,M$7&lt;=$E13+$F13-1)</formula>
    </cfRule>
    <cfRule type="expression" dxfId="55" priority="315">
      <formula>AND($C13="Rischio alto",M$7&gt;=$E13,M$7&lt;=$E13+$F13-1)</formula>
    </cfRule>
    <cfRule type="expression" dxfId="54" priority="316">
      <formula>AND($C13="In linea",M$7&gt;=$E13,M$7&lt;=$E13+$F13-1)</formula>
    </cfRule>
    <cfRule type="expression" dxfId="53" priority="317">
      <formula>AND($C13="Rischio medio",M$7&gt;=$E13,M$7&lt;=$E13+$F13-1)</formula>
    </cfRule>
  </conditionalFormatting>
  <conditionalFormatting sqref="T17:Z17 AA19:AB19 AC20:AD20 AE21">
    <cfRule type="expression" dxfId="52" priority="329">
      <formula>AND($C18="In linea",T$7&gt;=$E18,T$7&lt;=$E18+$F18-1)</formula>
    </cfRule>
    <cfRule type="expression" dxfId="51" priority="331">
      <formula>AND(LEN($C18)=0,T$7&gt;=$E18,T$7&lt;=$E18+$F18-1)</formula>
    </cfRule>
    <cfRule type="expression" dxfId="50" priority="330">
      <formula>AND($C18="Rischio medio",T$7&gt;=$E18,T$7&lt;=$E18+$F18-1)</formula>
    </cfRule>
    <cfRule type="expression" dxfId="49" priority="328">
      <formula>AND($C18="Rischio alto",T$7&gt;=$E18,T$7&lt;=$E18+$F18-1)</formula>
    </cfRule>
  </conditionalFormatting>
  <conditionalFormatting sqref="T18:Z18 AF22:AH22">
    <cfRule type="expression" dxfId="48" priority="495">
      <formula>AND(#REF!="Rischio alto",T$7&gt;=#REF!,T$7&lt;=#REF!+#REF!-1)</formula>
    </cfRule>
    <cfRule type="expression" dxfId="47" priority="496">
      <formula>AND(#REF!="In linea",T$7&gt;=#REF!,T$7&lt;=#REF!+#REF!-1)</formula>
    </cfRule>
    <cfRule type="expression" dxfId="46" priority="497">
      <formula>AND(#REF!="Rischio medio",T$7&gt;=#REF!,T$7&lt;=#REF!+#REF!-1)</formula>
    </cfRule>
    <cfRule type="expression" dxfId="45" priority="498">
      <formula>AND(LEN(#REF!)=0,T$7&gt;=#REF!,T$7&lt;=#REF!+#REF!-1)</formula>
    </cfRule>
  </conditionalFormatting>
  <conditionalFormatting sqref="AA19:AB19 AC20:AD20 AE21 T17:Z17">
    <cfRule type="expression" dxfId="44" priority="327">
      <formula>AND($C18="Rischio basso",T$7&gt;=$E18,T$7&lt;=$E18+$F18-1)</formula>
    </cfRule>
  </conditionalFormatting>
  <conditionalFormatting sqref="AF22:AH22 T18:Z18">
    <cfRule type="expression" dxfId="43" priority="494">
      <formula>AND(#REF!="Rischio basso",T$7&gt;=#REF!,T$7&lt;=#REF!+#REF!-1)</formula>
    </cfRule>
  </conditionalFormatting>
  <conditionalFormatting sqref="AG23:AH23 AI24:AJ24 AK25 AL26:AQ26 AR27:AS27 AX29 AY30:AZ30 BA31">
    <cfRule type="expression" dxfId="42" priority="388">
      <formula>AND(LEN($C24)=0,AI$7&gt;=$E24,AI$7&lt;=$E24+$F24-1)</formula>
    </cfRule>
    <cfRule type="expression" dxfId="41" priority="385">
      <formula>AND($C24="Rischio alto",AI$7&gt;=$E24,AI$7&lt;=$E24+$F24-1)</formula>
    </cfRule>
    <cfRule type="expression" dxfId="40" priority="386">
      <formula>AND($C24="In linea",AI$7&gt;=$E24,AI$7&lt;=$E24+$F24-1)</formula>
    </cfRule>
    <cfRule type="expression" dxfId="39" priority="387">
      <formula>AND($C24="Rischio medio",AI$7&gt;=$E24,AI$7&lt;=$E24+$F24-1)</formula>
    </cfRule>
    <cfRule type="expression" dxfId="38" priority="384">
      <formula>AND($C24="Rischio basso",AI$7&gt;=$E24,AI$7&lt;=$E24+$F24-1)</formula>
    </cfRule>
  </conditionalFormatting>
  <conditionalFormatting sqref="AG23:BE32 J12 J14:N14 AG33:BB33">
    <cfRule type="expression" dxfId="37" priority="278">
      <formula>AND($C12="Rischio basso",L$7&gt;=$E12,L$7&lt;=$E12+$F12-1)</formula>
    </cfRule>
  </conditionalFormatting>
  <conditionalFormatting sqref="AT28:AW28 BB32">
    <cfRule type="expression" dxfId="36" priority="581">
      <formula>AND(#REF!="Rischio basso",AV$7&gt;=#REF!,AV$7&lt;=#REF!+#REF!-1)</formula>
    </cfRule>
    <cfRule type="expression" dxfId="35" priority="582">
      <formula>AND(#REF!="Rischio alto",AV$7&gt;=#REF!,AV$7&lt;=#REF!+#REF!-1)</formula>
    </cfRule>
    <cfRule type="expression" dxfId="34" priority="583">
      <formula>AND(#REF!="In linea",AV$7&gt;=#REF!,AV$7&lt;=#REF!+#REF!-1)</formula>
    </cfRule>
    <cfRule type="expression" dxfId="33" priority="585">
      <formula>AND(LEN(#REF!)=0,AV$7&gt;=#REF!,AV$7&lt;=#REF!+#REF!-1)</formula>
    </cfRule>
    <cfRule type="expression" dxfId="32" priority="584">
      <formula>AND(#REF!="Rischio medio",AV$7&gt;=#REF!,AV$7&lt;=#REF!+#REF!-1)</formula>
    </cfRule>
  </conditionalFormatting>
  <conditionalFormatting sqref="AT28:AW28">
    <cfRule type="cellIs" dxfId="31" priority="148" operator="equal">
      <formula>1</formula>
    </cfRule>
  </conditionalFormatting>
  <conditionalFormatting sqref="AX29">
    <cfRule type="cellIs" dxfId="30" priority="142" operator="equal">
      <formula>1</formula>
    </cfRule>
  </conditionalFormatting>
  <conditionalFormatting sqref="AY30:AZ30">
    <cfRule type="cellIs" dxfId="29" priority="130" operator="equal">
      <formula>1</formula>
    </cfRule>
  </conditionalFormatting>
  <conditionalFormatting sqref="BA31">
    <cfRule type="cellIs" dxfId="28" priority="124" operator="equal">
      <formula>1</formula>
    </cfRule>
  </conditionalFormatting>
  <conditionalFormatting sqref="BB32">
    <cfRule type="cellIs" dxfId="27" priority="118" operator="equal">
      <formula>1</formula>
    </cfRule>
  </conditionalFormatting>
  <conditionalFormatting sqref="BC33:BD33">
    <cfRule type="expression" dxfId="26" priority="624">
      <formula>AND($C34="Rischio basso",BG$7&gt;=$E34,BG$7&lt;=$E34+$F34-1)</formula>
    </cfRule>
    <cfRule type="expression" dxfId="25" priority="622">
      <formula>AND($C33="Rischio medio",BG$7&gt;=$E33,BG$7&lt;=$E33+$F33-1)</formula>
    </cfRule>
    <cfRule type="expression" dxfId="24" priority="621">
      <formula>AND($C33="In linea",BG$7&gt;=$E33,BG$7&lt;=$E33+$F33-1)</formula>
    </cfRule>
    <cfRule type="expression" dxfId="23" priority="629">
      <formula>AND($C33="Rischio basso",BG$7&gt;=$E33,BG$7&lt;=$E33+$F33-1)</formula>
    </cfRule>
    <cfRule type="cellIs" dxfId="22" priority="100" operator="equal">
      <formula>1</formula>
    </cfRule>
    <cfRule type="expression" dxfId="21" priority="620">
      <formula>AND($C33="Rischio alto",BG$7&gt;=$E33,BG$7&lt;=$E33+$F33-1)</formula>
    </cfRule>
    <cfRule type="expression" dxfId="20" priority="628">
      <formula>AND(LEN($C34)=0,BG$7&gt;=$E34,BG$7&lt;=$E34+$F34-1)</formula>
    </cfRule>
    <cfRule type="expression" dxfId="19" priority="627">
      <formula>AND($C34="Rischio medio",BG$7&gt;=$E34,BG$7&lt;=$E34+$F34-1)</formula>
    </cfRule>
    <cfRule type="expression" dxfId="18" priority="626">
      <formula>AND($C34="In linea",BG$7&gt;=$E34,BG$7&lt;=$E34+$F34-1)</formula>
    </cfRule>
    <cfRule type="expression" dxfId="17" priority="625">
      <formula>AND($C34="Rischio alto",BG$7&gt;=$E34,BG$7&lt;=$E34+$F34-1)</formula>
    </cfRule>
    <cfRule type="expression" dxfId="16" priority="623">
      <formula>AND(LEN($C33)=0,BG$7&gt;=$E33,BG$7&lt;=$E33+$F33-1)</formula>
    </cfRule>
  </conditionalFormatting>
  <conditionalFormatting sqref="BE34:BF34">
    <cfRule type="expression" dxfId="15" priority="3">
      <formula>AND($C34="In linea",BI$7&gt;=$E34,BI$7&lt;=$E34+$F34-1)</formula>
    </cfRule>
    <cfRule type="expression" dxfId="14" priority="4">
      <formula>AND($C34="Rischio medio",BI$7&gt;=$E34,BI$7&lt;=$E34+$F34-1)</formula>
    </cfRule>
    <cfRule type="expression" dxfId="13" priority="5">
      <formula>AND(LEN($C34)=0,BI$7&gt;=$E34,BI$7&lt;=$E34+$F34-1)</formula>
    </cfRule>
    <cfRule type="cellIs" dxfId="12" priority="1" operator="equal">
      <formula>1</formula>
    </cfRule>
    <cfRule type="expression" dxfId="11" priority="7">
      <formula>AND($C35="Rischio alto",BI$7&gt;=$E35,BI$7&lt;=$E35+$F35-1)</formula>
    </cfRule>
    <cfRule type="expression" dxfId="10" priority="2">
      <formula>AND($C34="Rischio alto",BI$7&gt;=$E34,BI$7&lt;=$E34+$F34-1)</formula>
    </cfRule>
    <cfRule type="expression" dxfId="9" priority="11">
      <formula>AND($C34="Rischio basso",BI$7&gt;=$E34,BI$7&lt;=$E34+$F34-1)</formula>
    </cfRule>
    <cfRule type="expression" dxfId="8" priority="10">
      <formula>AND(LEN($C35)=0,BI$7&gt;=$E35,BI$7&lt;=$E35+$F35-1)</formula>
    </cfRule>
    <cfRule type="expression" dxfId="7" priority="9">
      <formula>AND($C35="Rischio medio",BI$7&gt;=$E35,BI$7&lt;=$E35+$F35-1)</formula>
    </cfRule>
    <cfRule type="expression" dxfId="6" priority="8">
      <formula>AND($C35="In linea",BI$7&gt;=$E35,BI$7&lt;=$E35+$F35-1)</formula>
    </cfRule>
    <cfRule type="expression" dxfId="5" priority="6">
      <formula>AND($C35="Rischio basso",BI$7&gt;=$E35,BI$7&lt;=$E35+$F35-1)</formula>
    </cfRule>
  </conditionalFormatting>
  <conditionalFormatting sqref="BF23:BG32 BE33:BG33">
    <cfRule type="expression" dxfId="4" priority="277">
      <formula>AND(LEN($C23)=0,BE$7&gt;=$E23,BE$7&lt;=$E23+$F23-1)</formula>
    </cfRule>
    <cfRule type="expression" dxfId="3" priority="276">
      <formula>AND($C23="Rischio medio",BE$7&gt;=$E23,BE$7&lt;=$E23+$F23-1)</formula>
    </cfRule>
    <cfRule type="expression" dxfId="2" priority="275">
      <formula>AND($C23="In linea",BE$7&gt;=$E23,BE$7&lt;=$E23+$F23-1)</formula>
    </cfRule>
    <cfRule type="expression" dxfId="1" priority="274">
      <formula>AND($C23="Rischio alto",BE$7&gt;=$E23,BE$7&lt;=$E23+$F23-1)</formula>
    </cfRule>
    <cfRule type="expression" dxfId="0" priority="273">
      <formula>AND($C23="Rischio basso",BE$7&gt;=$E23,BE$7&lt;=$E23+$F23-1)</formula>
    </cfRule>
  </conditionalFormatting>
  <dataValidations disablePrompts="1" count="3">
    <dataValidation type="whole" operator="greaterThanOrEqual" allowBlank="1" showInputMessage="1" promptTitle="Incremento scorrimento" prompt="Cambiando questo numero si scorre la visualizzazione del diagramma di Gantt." sqref="C7" xr:uid="{00000000-0002-0000-0000-000000000000}">
      <formula1>0</formula1>
      <formula2>0</formula2>
    </dataValidation>
    <dataValidation type="list" allowBlank="1" showInputMessage="1" showErrorMessage="1" sqref="C10 C12:C34" xr:uid="{00000000-0002-0000-0000-000001000000}">
      <formula1>"Obiettivo,Attività cardine,In linea,Rischio basso,Rischio medio,Rischio alto"</formula1>
      <formula2>0</formula2>
    </dataValidation>
    <dataValidation type="list" allowBlank="1" showInputMessage="1" sqref="C11" xr:uid="{00000000-0002-0000-0000-000002000000}">
      <formula1>"Obiettivo,Attività cardine,In linea,Rischio basso,Rischio medio,Rischio alto"</formula1>
      <formula2>0</formula2>
    </dataValidation>
  </dataValidations>
  <pageMargins left="0.5" right="0.5" top="0.5" bottom="0.5" header="0.511811023622047" footer="0.511811023622047"/>
  <pageSetup paperSize="9" scale="93" orientation="portrait" horizontalDpi="300" verticalDpi="300"/>
  <rowBreaks count="1" manualBreakCount="1">
    <brk id="21" max="16383" man="1"/>
  </rowBreaks>
  <colBreaks count="3" manualBreakCount="3">
    <brk id="4" max="1048575" man="1"/>
    <brk id="26" max="1048575" man="1"/>
    <brk id="51" max="1048575" man="1"/>
  </colBreak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Leggero</vt:lpstr>
      <vt:lpstr>Leggero!Incremento_Scorrimento</vt:lpstr>
      <vt:lpstr>Leggero!Inzio_Progetto</vt:lpstr>
      <vt:lpstr>Leggero!Titoli_stampa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zio387@cpt.local</cp:lastModifiedBy>
  <cp:revision>0</cp:revision>
  <dcterms:created xsi:type="dcterms:W3CDTF">2021-02-17T05:31:39Z</dcterms:created>
  <dcterms:modified xsi:type="dcterms:W3CDTF">2026-05-08T12:18:25Z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